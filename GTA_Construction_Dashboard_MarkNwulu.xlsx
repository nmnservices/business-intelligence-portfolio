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16"/>
  <workbookPr dateCompatibility="0" hidePivotFieldList="1" defaultThemeVersion="202300"/>
  <mc:AlternateContent xmlns:mc="http://schemas.openxmlformats.org/markup-compatibility/2006">
    <mc:Choice Requires="x15">
      <x15ac:absPath xmlns:x15ac="http://schemas.microsoft.com/office/spreadsheetml/2010/11/ac" url="/Users/trademac/Downloads/Dataset/"/>
    </mc:Choice>
  </mc:AlternateContent>
  <xr:revisionPtr revIDLastSave="0" documentId="13_ncr:9_{37B76C9D-E259-1D47-A454-BFC836614B06}" xr6:coauthVersionLast="47" xr6:coauthVersionMax="47" xr10:uidLastSave="{00000000-0000-0000-0000-000000000000}"/>
  <bookViews>
    <workbookView xWindow="0" yWindow="0" windowWidth="25600" windowHeight="16000" xr2:uid="{088E8C50-18BB-1048-A8D0-594B1BED4C2D}"/>
  </bookViews>
  <sheets>
    <sheet name="Dashboard" sheetId="8" r:id="rId1"/>
    <sheet name="construction_projects" sheetId="1" r:id="rId2"/>
    <sheet name="Budget vs Actual cost by Projec" sheetId="2" r:id="rId3"/>
    <sheet name="Cost Variance % by Region" sheetId="3" r:id="rId4"/>
    <sheet name="Project Status" sheetId="4" r:id="rId5"/>
    <sheet name="Cost Breakdown" sheetId="5" r:id="rId6"/>
    <sheet name="Delays by Project Type" sheetId="6" r:id="rId7"/>
    <sheet name="Risk Distribution" sheetId="7" r:id="rId8"/>
    <sheet name="Variance by Project Type" sheetId="9" r:id="rId9"/>
  </sheets>
  <definedNames>
    <definedName name="Slicer_Region">#N/A</definedName>
    <definedName name="Slicer_Risk_Level">#N/A</definedName>
  </definedNames>
  <calcPr calcId="191029"/>
  <pivotCaches>
    <pivotCache cacheId="2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B4" i="8" l="1"/>
  <c r="H4" i="8"/>
  <c r="F4" i="8"/>
  <c r="D4" i="8"/>
</calcChain>
</file>

<file path=xl/sharedStrings.xml><?xml version="1.0" encoding="utf-8"?>
<sst xmlns="http://purl.oclc.org/ooxml/spreadsheetml/main" count="491" uniqueCount="165">
  <si>
    <t>Project_ID</t>
  </si>
  <si>
    <t>Project_Name</t>
  </si>
  <si>
    <t>Project_Type</t>
  </si>
  <si>
    <t>Region</t>
  </si>
  <si>
    <t>Phase</t>
  </si>
  <si>
    <t>Status</t>
  </si>
  <si>
    <t>Planned_Budget_CAD</t>
  </si>
  <si>
    <t>Actual_Cost_CAD</t>
  </si>
  <si>
    <t>Cost_Variance_CAD</t>
  </si>
  <si>
    <t>Cost_Variance_Pct</t>
  </si>
  <si>
    <t>Labor_Cost_CAD</t>
  </si>
  <si>
    <t>Material_Cost_CAD</t>
  </si>
  <si>
    <t>Subcontractor_Cost_CAD</t>
  </si>
  <si>
    <t>Start_Date</t>
  </si>
  <si>
    <t>Planned_End_Date</t>
  </si>
  <si>
    <t>Actual_End_Date</t>
  </si>
  <si>
    <t>Delay_Days</t>
  </si>
  <si>
    <t>Completion_Pct</t>
  </si>
  <si>
    <t>Risk_Level</t>
  </si>
  <si>
    <t>Project_Manager</t>
  </si>
  <si>
    <t>PRJ-001</t>
  </si>
  <si>
    <t>Toronto Retail Complex 1</t>
  </si>
  <si>
    <t>Retail Complex</t>
  </si>
  <si>
    <t>Toronto</t>
  </si>
  <si>
    <t>Closeout</t>
  </si>
  <si>
    <t>Completed</t>
  </si>
  <si>
    <t>Medium</t>
  </si>
  <si>
    <t>Sarah Chen</t>
  </si>
  <si>
    <t>PRJ-002</t>
  </si>
  <si>
    <t>Mississauga Residential High-Rise 2</t>
  </si>
  <si>
    <t>Residential High-Rise</t>
  </si>
  <si>
    <t>Mississauga</t>
  </si>
  <si>
    <t>Finishing</t>
  </si>
  <si>
    <t>James Okafor</t>
  </si>
  <si>
    <t>PRJ-003</t>
  </si>
  <si>
    <t>Vaughan Retail Complex 3</t>
  </si>
  <si>
    <t>Vaughan</t>
  </si>
  <si>
    <t>Pre-Construction</t>
  </si>
  <si>
    <t>Mark Johnson</t>
  </si>
  <si>
    <t>PRJ-004</t>
  </si>
  <si>
    <t>Hamilton Industrial Warehouse 4</t>
  </si>
  <si>
    <t>Industrial Warehouse</t>
  </si>
  <si>
    <t>Hamilton</t>
  </si>
  <si>
    <t>High</t>
  </si>
  <si>
    <t>PRJ-005</t>
  </si>
  <si>
    <t>Toronto Residential High-Rise 5</t>
  </si>
  <si>
    <t>Structure</t>
  </si>
  <si>
    <t>Low</t>
  </si>
  <si>
    <t>Maria Santos</t>
  </si>
  <si>
    <t>PRJ-006</t>
  </si>
  <si>
    <t>Ottawa Commercial Office 6</t>
  </si>
  <si>
    <t>Commercial Office</t>
  </si>
  <si>
    <t>Ottawa</t>
  </si>
  <si>
    <t>PRJ-007</t>
  </si>
  <si>
    <t>Hamilton Retail Complex 7</t>
  </si>
  <si>
    <t>PRJ-008</t>
  </si>
  <si>
    <t>Vaughan Retail Complex 8</t>
  </si>
  <si>
    <t>Foundation</t>
  </si>
  <si>
    <t>Lisa Patel</t>
  </si>
  <si>
    <t>PRJ-009</t>
  </si>
  <si>
    <t>Brampton Industrial Warehouse 9</t>
  </si>
  <si>
    <t>Brampton</t>
  </si>
  <si>
    <t>PRJ-010</t>
  </si>
  <si>
    <t>Vaughan Residential High-Rise 10</t>
  </si>
  <si>
    <t>PRJ-011</t>
  </si>
  <si>
    <t>Toronto Infrastructure 11</t>
  </si>
  <si>
    <t>Infrastructure</t>
  </si>
  <si>
    <t>PRJ-012</t>
  </si>
  <si>
    <t>Hamilton Mixed-Use Development 12</t>
  </si>
  <si>
    <t>Mixed-Use Development</t>
  </si>
  <si>
    <t>PRJ-013</t>
  </si>
  <si>
    <t>Brampton Infrastructure 13</t>
  </si>
  <si>
    <t>Mechanical/Electrical</t>
  </si>
  <si>
    <t>PRJ-014</t>
  </si>
  <si>
    <t>Vaughan Retail Complex 14</t>
  </si>
  <si>
    <t>David Kim</t>
  </si>
  <si>
    <t>PRJ-015</t>
  </si>
  <si>
    <t>Ottawa Retail Complex 15</t>
  </si>
  <si>
    <t>PRJ-016</t>
  </si>
  <si>
    <t>Ottawa Residential High-Rise 16</t>
  </si>
  <si>
    <t>PRJ-017</t>
  </si>
  <si>
    <t>Hamilton Mixed-Use Development 17</t>
  </si>
  <si>
    <t>PRJ-018</t>
  </si>
  <si>
    <t>Ottawa Retail Complex 18</t>
  </si>
  <si>
    <t>PRJ-019</t>
  </si>
  <si>
    <t>Toronto Commercial Office 19</t>
  </si>
  <si>
    <t>PRJ-020</t>
  </si>
  <si>
    <t>Vaughan Industrial Warehouse 20</t>
  </si>
  <si>
    <t>PRJ-021</t>
  </si>
  <si>
    <t>Ottawa Retail Complex 21</t>
  </si>
  <si>
    <t>PRJ-022</t>
  </si>
  <si>
    <t>Toronto Infrastructure 22</t>
  </si>
  <si>
    <t>PRJ-023</t>
  </si>
  <si>
    <t>Vaughan Commercial Office 23</t>
  </si>
  <si>
    <t>PRJ-024</t>
  </si>
  <si>
    <t>Ottawa Commercial Office 24</t>
  </si>
  <si>
    <t>PRJ-025</t>
  </si>
  <si>
    <t>Hamilton Mixed-Use Development 25</t>
  </si>
  <si>
    <t>PRJ-026</t>
  </si>
  <si>
    <t>Hamilton Industrial Warehouse 26</t>
  </si>
  <si>
    <t>PRJ-027</t>
  </si>
  <si>
    <t>Ottawa Residential High-Rise 27</t>
  </si>
  <si>
    <t>PRJ-028</t>
  </si>
  <si>
    <t>Ottawa Residential High-Rise 28</t>
  </si>
  <si>
    <t>PRJ-029</t>
  </si>
  <si>
    <t>Toronto Residential High-Rise 29</t>
  </si>
  <si>
    <t>PRJ-030</t>
  </si>
  <si>
    <t>Toronto Infrastructure 30</t>
  </si>
  <si>
    <t>PRJ-031</t>
  </si>
  <si>
    <t>Mississauga Commercial Office 31</t>
  </si>
  <si>
    <t>PRJ-032</t>
  </si>
  <si>
    <t>Vaughan Residential High-Rise 32</t>
  </si>
  <si>
    <t>PRJ-033</t>
  </si>
  <si>
    <t>Mississauga Retail Complex 33</t>
  </si>
  <si>
    <t>PRJ-034</t>
  </si>
  <si>
    <t>Brampton Residential High-Rise 34</t>
  </si>
  <si>
    <t>PRJ-035</t>
  </si>
  <si>
    <t>Hamilton Industrial Warehouse 35</t>
  </si>
  <si>
    <t>PRJ-036</t>
  </si>
  <si>
    <t>Toronto Industrial Warehouse 36</t>
  </si>
  <si>
    <t>PRJ-037</t>
  </si>
  <si>
    <t>Ottawa Industrial Warehouse 37</t>
  </si>
  <si>
    <t>PRJ-038</t>
  </si>
  <si>
    <t>Brampton Residential High-Rise 38</t>
  </si>
  <si>
    <t>PRJ-039</t>
  </si>
  <si>
    <t>Brampton Residential High-Rise 39</t>
  </si>
  <si>
    <t>PRJ-040</t>
  </si>
  <si>
    <t>Mississauga Residential High-Rise 40</t>
  </si>
  <si>
    <t>PRJ-041</t>
  </si>
  <si>
    <t>Ottawa Commercial Office 41</t>
  </si>
  <si>
    <t>PRJ-042</t>
  </si>
  <si>
    <t>Vaughan Commercial Office 42</t>
  </si>
  <si>
    <t>PRJ-043</t>
  </si>
  <si>
    <t>Mississauga Industrial Warehouse 43</t>
  </si>
  <si>
    <t>PRJ-044</t>
  </si>
  <si>
    <t>Toronto Industrial Warehouse 44</t>
  </si>
  <si>
    <t>PRJ-045</t>
  </si>
  <si>
    <t>Vaughan Industrial Warehouse 45</t>
  </si>
  <si>
    <t>PRJ-046</t>
  </si>
  <si>
    <t>Brampton Residential High-Rise 46</t>
  </si>
  <si>
    <t>PRJ-047</t>
  </si>
  <si>
    <t>Vaughan Residential High-Rise 47</t>
  </si>
  <si>
    <t>PRJ-048</t>
  </si>
  <si>
    <t>Hamilton Mixed-Use Development 48</t>
  </si>
  <si>
    <t>PRJ-049</t>
  </si>
  <si>
    <t>Brampton Industrial Warehouse 49</t>
  </si>
  <si>
    <t>PRJ-050</t>
  </si>
  <si>
    <t>Toronto Residential High-Rise 50</t>
  </si>
  <si>
    <t>Grand Total</t>
  </si>
  <si>
    <t>Sum of Planned_Budget_CAD</t>
  </si>
  <si>
    <t>Total</t>
  </si>
  <si>
    <t>Data</t>
  </si>
  <si>
    <t>Sum of Actual_Cost_CAD</t>
  </si>
  <si>
    <t>Budget vs Actual cost by Project Type</t>
  </si>
  <si>
    <t>Average of Cost_Variance_Pct</t>
  </si>
  <si>
    <t>Count of Project_ID</t>
  </si>
  <si>
    <t>Sum of Labor_Cost_CAD</t>
  </si>
  <si>
    <t>Sum of Material_Cost_CAD</t>
  </si>
  <si>
    <t>Sum of Subcontractor_Cost_CAD</t>
  </si>
  <si>
    <t>Average of Delay_Days</t>
  </si>
  <si>
    <t>GTA Construction Project Cost &amp; Performance Dashboard</t>
  </si>
  <si>
    <t>Total Budget (CAD)</t>
  </si>
  <si>
    <t>Total Actual Cost (CAD)</t>
  </si>
  <si>
    <t>Avg Cost Variance %</t>
  </si>
  <si>
    <t>Total # Projects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</si>
</sst>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1009]* #,##0.00_-;\-[$$-1009]* #,##0.00_-;_-[$$-1009]* &quot;-&quot;??_-;_-@_-"/>
    <numFmt numFmtId="165" formatCode="_(&quot;$&quot;* #,##0_);_(&quot;$&quot;* \(#,##0\);_(&quot;$&quot;* &quot;-&quot;??_);_(@_)"/>
  </numFmts>
  <fonts count="22" x14ac:knownFonts="1">
    <font>
      <sz val="12"/>
      <color theme="1"/>
      <name val="Aptos Narrow"/>
      <family val="2"/>
      <scheme val="minor"/>
    </font>
    <font>
      <sz val="12"/>
      <color indexed="8"/>
      <name val="Aptos Narrow"/>
      <family val="2"/>
    </font>
    <font>
      <sz val="12"/>
      <color theme="1"/>
      <name val="Aptos Narrow"/>
      <family val="2"/>
      <scheme val="minor"/>
    </font>
    <font>
      <sz val="12"/>
      <color theme="0"/>
      <name val="Aptos Narrow"/>
      <family val="2"/>
      <scheme val="minor"/>
    </font>
    <font>
      <sz val="12"/>
      <color rgb="FF9C0006"/>
      <name val="Aptos Narrow"/>
      <family val="2"/>
      <scheme val="minor"/>
    </font>
    <font>
      <b/>
      <sz val="12"/>
      <color indexed="52"/>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5"/>
      <color indexed="56"/>
      <name val="Aptos Narrow"/>
      <family val="2"/>
      <scheme val="minor"/>
    </font>
    <font>
      <b/>
      <sz val="13"/>
      <color indexed="56"/>
      <name val="Aptos Narrow"/>
      <family val="2"/>
      <scheme val="minor"/>
    </font>
    <font>
      <b/>
      <sz val="11"/>
      <color indexed="56"/>
      <name val="Aptos Narrow"/>
      <family val="2"/>
      <scheme val="minor"/>
    </font>
    <font>
      <sz val="12"/>
      <color rgb="FF3F3F76"/>
      <name val="Aptos Narrow"/>
      <family val="2"/>
      <scheme val="minor"/>
    </font>
    <font>
      <sz val="12"/>
      <color indexed="52"/>
      <name val="Aptos Narrow"/>
      <family val="2"/>
      <scheme val="minor"/>
    </font>
    <font>
      <sz val="12"/>
      <color rgb="FF9C5700"/>
      <name val="Aptos Narrow"/>
      <family val="2"/>
      <scheme val="minor"/>
    </font>
    <font>
      <b/>
      <sz val="12"/>
      <color rgb="FF3F3F3F"/>
      <name val="Aptos Narrow"/>
      <family val="2"/>
      <scheme val="minor"/>
    </font>
    <font>
      <sz val="18"/>
      <color indexed="56"/>
      <name val="Aptos Display"/>
      <family val="2"/>
      <charset val="1"/>
      <scheme val="major"/>
    </font>
    <font>
      <b/>
      <sz val="12"/>
      <color theme="1"/>
      <name val="Aptos Narrow"/>
      <family val="2"/>
      <scheme val="minor"/>
    </font>
    <font>
      <sz val="12"/>
      <color rgb="FFFF0000"/>
      <name val="Aptos Narrow"/>
      <family val="2"/>
      <scheme val="minor"/>
    </font>
    <font>
      <b/>
      <sz val="12"/>
      <color theme="1"/>
      <name val="Aptos Narrow"/>
      <scheme val="minor"/>
    </font>
    <font>
      <sz val="14"/>
      <color theme="1"/>
      <name val="Aptos Narrow"/>
      <family val="2"/>
      <scheme val="minor"/>
    </font>
    <font>
      <b/>
      <u/>
      <sz val="20"/>
      <color theme="1"/>
      <name val="Aptos Narrow"/>
      <scheme val="minor"/>
    </font>
  </fonts>
  <fills count="25">
    <fill>
      <patternFill patternType="none"/>
    </fill>
    <fill>
      <patternFill patternType="gray125"/>
    </fill>
    <fill>
      <patternFill patternType="solid">
        <fgColor indexed="27"/>
      </patternFill>
    </fill>
    <fill>
      <patternFill patternType="solid">
        <fgColor indexed="22"/>
      </patternFill>
    </fill>
    <fill>
      <patternFill patternType="solid">
        <fgColor indexed="42"/>
      </patternFill>
    </fill>
    <fill>
      <patternFill patternType="solid">
        <fgColor indexed="45"/>
      </patternFill>
    </fill>
    <fill>
      <patternFill patternType="solid">
        <fgColor indexed="49"/>
      </patternFill>
    </fill>
    <fill>
      <patternFill patternType="solid">
        <fgColor indexed="57"/>
      </patternFill>
    </fill>
    <fill>
      <patternFill patternType="solid">
        <fgColor indexed="48"/>
      </patternFill>
    </fill>
    <fill>
      <patternFill patternType="solid">
        <fgColor indexed="25"/>
      </patternFill>
    </fill>
    <fill>
      <patternFill patternType="solid">
        <fgColor indexed="11"/>
      </patternFill>
    </fill>
    <fill>
      <patternFill patternType="solid">
        <fgColor indexed="21"/>
      </patternFill>
    </fill>
    <fill>
      <patternFill patternType="solid">
        <fgColor indexed="53"/>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7"/>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s>
  <borders count="23">
    <border>
      <start/>
      <end/>
      <top/>
      <bottom/>
      <diagonal/>
    </border>
    <border>
      <start/>
      <end/>
      <top/>
      <bottom style="thick">
        <color indexed="21"/>
      </bottom>
      <diagonal/>
    </border>
    <border>
      <start/>
      <end/>
      <top/>
      <bottom style="thick">
        <color indexed="49"/>
      </bottom>
      <diagonal/>
    </border>
    <border>
      <start/>
      <end/>
      <top/>
      <bottom style="double">
        <color indexed="52"/>
      </bottom>
      <diagonal/>
    </border>
    <border>
      <start/>
      <end/>
      <top style="thin">
        <color indexed="21"/>
      </top>
      <bottom style="double">
        <color indexed="21"/>
      </bottom>
      <diagonal/>
    </border>
    <border>
      <start style="thin">
        <color rgb="FF7F7F7F"/>
      </start>
      <end style="thin">
        <color rgb="FF7F7F7F"/>
      </end>
      <top style="thin">
        <color rgb="FF7F7F7F"/>
      </top>
      <bottom style="thin">
        <color rgb="FF7F7F7F"/>
      </bottom>
      <diagonal/>
    </border>
    <border>
      <start style="double">
        <color rgb="FF3F3F3F"/>
      </start>
      <end style="double">
        <color rgb="FF3F3F3F"/>
      </end>
      <top style="double">
        <color rgb="FF3F3F3F"/>
      </top>
      <bottom style="double">
        <color rgb="FF3F3F3F"/>
      </bottom>
      <diagonal/>
    </border>
    <border>
      <start/>
      <end/>
      <top/>
      <bottom style="medium">
        <color theme="4" tint="0.39997558519241921"/>
      </bottom>
      <diagonal/>
    </border>
    <border>
      <start style="thin">
        <color rgb="FFB2B2B2"/>
      </start>
      <end style="thin">
        <color rgb="FFB2B2B2"/>
      </end>
      <top style="thin">
        <color rgb="FFB2B2B2"/>
      </top>
      <bottom style="thin">
        <color rgb="FFB2B2B2"/>
      </bottom>
      <diagonal/>
    </border>
    <border>
      <start style="thin">
        <color rgb="FF3F3F3F"/>
      </start>
      <end style="thin">
        <color rgb="FF3F3F3F"/>
      </end>
      <top style="thin">
        <color rgb="FF3F3F3F"/>
      </top>
      <bottom style="thin">
        <color rgb="FF3F3F3F"/>
      </bottom>
      <diagonal/>
    </border>
    <border>
      <start style="thin">
        <color rgb="FF999999"/>
      </start>
      <end/>
      <top style="thin">
        <color rgb="FF999999"/>
      </top>
      <bottom/>
      <diagonal/>
    </border>
    <border>
      <start style="thin">
        <color indexed="65"/>
      </start>
      <end/>
      <top style="thin">
        <color rgb="FF999999"/>
      </top>
      <bottom/>
      <diagonal/>
    </border>
    <border>
      <start style="thin">
        <color indexed="65"/>
      </start>
      <end style="thin">
        <color rgb="FF999999"/>
      </end>
      <top style="thin">
        <color rgb="FF999999"/>
      </top>
      <bottom/>
      <diagonal/>
    </border>
    <border>
      <start style="thin">
        <color rgb="FF999999"/>
      </start>
      <end/>
      <top/>
      <bottom/>
      <diagonal/>
    </border>
    <border>
      <start style="thin">
        <color rgb="FF999999"/>
      </start>
      <end/>
      <top style="thin">
        <color rgb="FF999999"/>
      </top>
      <bottom style="thin">
        <color rgb="FF999999"/>
      </bottom>
      <diagonal/>
    </border>
    <border>
      <start style="thin">
        <color rgb="FF999999"/>
      </start>
      <end style="thin">
        <color rgb="FF999999"/>
      </end>
      <top style="thin">
        <color rgb="FF999999"/>
      </top>
      <bottom/>
      <diagonal/>
    </border>
    <border>
      <start style="thin">
        <color rgb="FF999999"/>
      </start>
      <end style="thin">
        <color rgb="FF999999"/>
      </end>
      <top/>
      <bottom/>
      <diagonal/>
    </border>
    <border>
      <start style="thin">
        <color rgb="FF999999"/>
      </start>
      <end style="thin">
        <color rgb="FF999999"/>
      </end>
      <top style="thin">
        <color rgb="FF999999"/>
      </top>
      <bottom style="thin">
        <color rgb="FF999999"/>
      </bottom>
      <diagonal/>
    </border>
    <border>
      <start/>
      <end style="thin">
        <color rgb="FF999999"/>
      </end>
      <top style="thin">
        <color rgb="FF999999"/>
      </top>
      <bottom/>
      <diagonal/>
    </border>
    <border>
      <start/>
      <end style="thin">
        <color rgb="FF999999"/>
      </end>
      <top/>
      <bottom/>
      <diagonal/>
    </border>
    <border>
      <start/>
      <end style="thin">
        <color rgb="FF999999"/>
      </end>
      <top style="thin">
        <color rgb="FF999999"/>
      </top>
      <bottom style="thin">
        <color rgb="FF999999"/>
      </bottom>
      <diagonal/>
    </border>
    <border>
      <start/>
      <end/>
      <top style="thin">
        <color rgb="FF999999"/>
      </top>
      <bottom/>
      <diagonal/>
    </border>
    <border>
      <start/>
      <end/>
      <top style="thin">
        <color rgb="FF999999"/>
      </top>
      <bottom style="thin">
        <color rgb="FF999999"/>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 borderId="0" applyNumberFormat="0" applyBorder="0" applyAlignment="0" applyProtection="0"/>
    <xf numFmtId="0" fontId="2" fillId="6"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7" borderId="0" applyNumberFormat="0" applyBorder="0" applyAlignment="0" applyProtection="0"/>
    <xf numFmtId="0" fontId="4" fillId="5" borderId="0" applyNumberFormat="0" applyBorder="0" applyAlignment="0" applyProtection="0"/>
    <xf numFmtId="0" fontId="5" fillId="3" borderId="5" applyNumberFormat="0" applyAlignment="0" applyProtection="0"/>
    <xf numFmtId="0" fontId="6" fillId="22" borderId="6" applyNumberFormat="0" applyAlignment="0" applyProtection="0"/>
    <xf numFmtId="44" fontId="1"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7" applyNumberFormat="0" applyFill="0" applyAlignment="0" applyProtection="0"/>
    <xf numFmtId="0" fontId="11" fillId="0" borderId="0" applyNumberFormat="0" applyFill="0" applyBorder="0" applyAlignment="0" applyProtection="0"/>
    <xf numFmtId="0" fontId="12" fillId="3" borderId="5" applyNumberFormat="0" applyAlignment="0" applyProtection="0"/>
    <xf numFmtId="0" fontId="13" fillId="0" borderId="3" applyNumberFormat="0" applyFill="0" applyAlignment="0" applyProtection="0"/>
    <xf numFmtId="0" fontId="14" fillId="23" borderId="0" applyNumberFormat="0" applyBorder="0" applyAlignment="0" applyProtection="0"/>
    <xf numFmtId="0" fontId="1" fillId="24" borderId="8" applyNumberFormat="0" applyFont="0" applyAlignment="0" applyProtection="0"/>
    <xf numFmtId="0" fontId="15" fillId="3" borderId="9" applyNumberFormat="0" applyAlignment="0" applyProtection="0"/>
    <xf numFmtId="0" fontId="16" fillId="0" borderId="0" applyNumberFormat="0" applyFill="0" applyBorder="0" applyAlignment="0" applyProtection="0"/>
    <xf numFmtId="0" fontId="17" fillId="0" borderId="4" applyNumberFormat="0" applyFill="0" applyAlignment="0" applyProtection="0"/>
    <xf numFmtId="0" fontId="18" fillId="0" borderId="0" applyNumberFormat="0" applyFill="0" applyBorder="0" applyAlignment="0" applyProtection="0"/>
  </cellStyleXfs>
  <cellXfs count="35">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0" xfId="0" pivotButton="1" applyBorder="1"/>
    <xf numFmtId="0" fontId="0" fillId="0" borderId="13" xfId="0" applyBorder="1"/>
    <xf numFmtId="0" fontId="0" fillId="0" borderId="14" xfId="0" applyBorder="1"/>
    <xf numFmtId="0" fontId="0" fillId="0" borderId="15" xfId="0" applyBorder="1"/>
    <xf numFmtId="0" fontId="0" fillId="0" borderId="18" xfId="0" applyBorder="1"/>
    <xf numFmtId="164" fontId="0" fillId="0" borderId="10" xfId="0" applyNumberFormat="1" applyBorder="1"/>
    <xf numFmtId="164" fontId="0" fillId="0" borderId="18" xfId="0" applyNumberFormat="1" applyBorder="1"/>
    <xf numFmtId="164" fontId="0" fillId="0" borderId="13" xfId="0" applyNumberFormat="1" applyBorder="1"/>
    <xf numFmtId="164" fontId="0" fillId="0" borderId="19" xfId="0" applyNumberFormat="1" applyBorder="1"/>
    <xf numFmtId="164" fontId="0" fillId="0" borderId="14" xfId="0" applyNumberFormat="1" applyBorder="1"/>
    <xf numFmtId="164" fontId="0" fillId="0" borderId="20" xfId="0" applyNumberFormat="1" applyBorder="1"/>
    <xf numFmtId="0" fontId="0" fillId="0" borderId="21" xfId="0" applyBorder="1"/>
    <xf numFmtId="0" fontId="19" fillId="0" borderId="0" xfId="0" applyFont="1"/>
    <xf numFmtId="0" fontId="20" fillId="0" borderId="0" xfId="0" applyFont="1"/>
    <xf numFmtId="44" fontId="20" fillId="0" borderId="0" xfId="28" applyFont="1"/>
    <xf numFmtId="165" fontId="20" fillId="0" borderId="0" xfId="28" applyNumberFormat="1" applyFont="1"/>
    <xf numFmtId="2" fontId="20" fillId="0" borderId="0" xfId="0" applyNumberFormat="1" applyFont="1"/>
    <xf numFmtId="0" fontId="0" fillId="0" borderId="10" xfId="0" applyNumberFormat="1" applyBorder="1"/>
    <xf numFmtId="0" fontId="0" fillId="0" borderId="18" xfId="0" applyNumberFormat="1" applyBorder="1"/>
    <xf numFmtId="0" fontId="0" fillId="0" borderId="13" xfId="0" applyNumberFormat="1" applyBorder="1"/>
    <xf numFmtId="0" fontId="0" fillId="0" borderId="19" xfId="0" applyNumberFormat="1" applyBorder="1"/>
    <xf numFmtId="0" fontId="0" fillId="0" borderId="14" xfId="0" applyNumberFormat="1" applyBorder="1"/>
    <xf numFmtId="0" fontId="0" fillId="0" borderId="20" xfId="0" applyNumberFormat="1" applyBorder="1"/>
    <xf numFmtId="0" fontId="0" fillId="0" borderId="15" xfId="0" applyNumberFormat="1" applyBorder="1"/>
    <xf numFmtId="0" fontId="0" fillId="0" borderId="16" xfId="0" applyNumberFormat="1" applyBorder="1"/>
    <xf numFmtId="0" fontId="0" fillId="0" borderId="17" xfId="0" applyNumberFormat="1" applyBorder="1"/>
    <xf numFmtId="0" fontId="0" fillId="0" borderId="21" xfId="0" applyNumberFormat="1" applyBorder="1"/>
    <xf numFmtId="0" fontId="0" fillId="0" borderId="0" xfId="0" applyNumberFormat="1"/>
    <xf numFmtId="0" fontId="0" fillId="0" borderId="22" xfId="0" applyNumberFormat="1" applyBorder="1"/>
    <xf numFmtId="0" fontId="21" fillId="0" borderId="0" xfId="0" applyFont="1"/>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27">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
      <numFmt numFmtId="164" formatCode="_-[$$-1009]* #,##0.00_-;\-[$$-1009]* #,##0.00_-;_-[$$-1009]* &quot;-&quot;??_-;_-@_-"/>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theme" Target="theme/theme1.xml"/><Relationship Id="rId3" Type="http://purl.oclc.org/ooxml/officeDocument/relationships/worksheet" Target="worksheets/sheet3.xml"/><Relationship Id="rId7" Type="http://purl.oclc.org/ooxml/officeDocument/relationships/worksheet" Target="worksheets/sheet7.xml"/><Relationship Id="rId12" Type="http://schemas.microsoft.com/office/2007/relationships/slicerCache" Target="slicerCaches/slicerCache2.xml"/><Relationship Id="rId2" Type="http://purl.oclc.org/ooxml/officeDocument/relationships/worksheet" Target="worksheets/sheet2.xml"/><Relationship Id="rId16" Type="http://purl.oclc.org/ooxml/officeDocument/relationships/calcChain" Target="calcChain.xml"/><Relationship Id="rId1" Type="http://purl.oclc.org/ooxml/officeDocument/relationships/worksheet" Target="worksheets/sheet1.xml"/><Relationship Id="rId6" Type="http://purl.oclc.org/ooxml/officeDocument/relationships/worksheet" Target="worksheets/sheet6.xml"/><Relationship Id="rId11" Type="http://schemas.microsoft.com/office/2007/relationships/slicerCache" Target="slicerCaches/slicerCache1.xml"/><Relationship Id="rId5" Type="http://purl.oclc.org/ooxml/officeDocument/relationships/worksheet" Target="worksheets/sheet5.xml"/><Relationship Id="rId15" Type="http://purl.oclc.org/ooxml/officeDocument/relationships/sharedStrings" Target="sharedStrings.xml"/><Relationship Id="rId10" Type="http://purl.oclc.org/ooxml/officeDocument/relationships/pivotCacheDefinition" Target="pivotCache/pivotCacheDefinition1.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purl.oclc.org/ooxml/officeDocument/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purl.oclc.org/ooxml/officeDocument/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purl.oclc.org/ooxml/officeDocument/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[construction_projects.xlsx]Budget vs Actual cost by Projec!PivotTable1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'Budget vs Actual cost by Projec'!$B$3:$B$4</c:f>
              <c:strCache>
                <c:ptCount val="1"/>
                <c:pt idx="0">
                  <c:v>Sum of Planned_Budget_CAD</c:v>
                </c:pt>
              </c:strCache>
            </c:strRef>
          </c:tx>
          <c:spPr>
            <a:solidFill>
              <a:schemeClr val="accent1"/>
            </a:solidFill>
            <a:ln>
              <a:noFill/>
            </a:ln>
            <a:effectLst/>
          </c:spPr>
          <c:invertIfNegative val="0"/>
          <c:cat>
            <c:strRef>
              <c:f>'Budget vs Actual cost by Projec'!$A$5:$A$11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'Budget vs Actual cost by Projec'!$B$5:$B$11</c:f>
              <c:numCache>
                <c:formatCode>_-[$$-1009]* #,##0.00_-;\-[$$-1009]* #,##0.00_-;_-[$$-1009]* "-"??_-;_-@_-</c:formatCode>
                <c:ptCount val="6"/>
                <c:pt idx="0">
                  <c:v>190748764.94</c:v>
                </c:pt>
                <c:pt idx="1">
                  <c:v>264688639.39000002</c:v>
                </c:pt>
                <c:pt idx="2">
                  <c:v>75359960.929999992</c:v>
                </c:pt>
                <c:pt idx="3">
                  <c:v>117368577.47</c:v>
                </c:pt>
                <c:pt idx="4">
                  <c:v>372813960.31000006</c:v>
                </c:pt>
                <c:pt idx="5">
                  <c:v>192257661.38</c:v>
                </c:pt>
              </c:numCache>
            </c:numRef>
          </c:val>
          <c:extLst>
            <c:ext xmlns:c16="http://schemas.microsoft.com/office/drawing/2014/chart" uri="{C3380CC4-5D6E-409C-BE32-E72D297353CC}">
              <c16:uniqueId val="{00000000-D56C-0F49-8DBE-EEE2B8D2A4A0}"/>
            </c:ext>
          </c:extLst>
        </c:ser>
        <c:ser>
          <c:idx val="1"/>
          <c:order val="1"/>
          <c:tx>
            <c:strRef>
              <c:f>'Budget vs Actual cost by Projec'!$C$3:$C$4</c:f>
              <c:strCache>
                <c:ptCount val="1"/>
                <c:pt idx="0">
                  <c:v>Sum of Actual_Cost_CAD</c:v>
                </c:pt>
              </c:strCache>
            </c:strRef>
          </c:tx>
          <c:spPr>
            <a:solidFill>
              <a:schemeClr val="accent2"/>
            </a:solidFill>
            <a:ln>
              <a:noFill/>
            </a:ln>
            <a:effectLst/>
          </c:spPr>
          <c:invertIfNegative val="0"/>
          <c:cat>
            <c:strRef>
              <c:f>'Budget vs Actual cost by Projec'!$A$5:$A$11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'Budget vs Actual cost by Projec'!$C$5:$C$11</c:f>
              <c:numCache>
                <c:formatCode>_-[$$-1009]* #,##0.00_-;\-[$$-1009]* #,##0.00_-;_-[$$-1009]* "-"??_-;_-@_-</c:formatCode>
                <c:ptCount val="6"/>
                <c:pt idx="0">
                  <c:v>225828666.56</c:v>
                </c:pt>
                <c:pt idx="1">
                  <c:v>313443270.71000004</c:v>
                </c:pt>
                <c:pt idx="2">
                  <c:v>78082709.319999993</c:v>
                </c:pt>
                <c:pt idx="3">
                  <c:v>123126009.53</c:v>
                </c:pt>
                <c:pt idx="4">
                  <c:v>435449573.99000001</c:v>
                </c:pt>
                <c:pt idx="5">
                  <c:v>216880603.60000002</c:v>
                </c:pt>
              </c:numCache>
            </c:numRef>
          </c:val>
          <c:extLst>
            <c:ext xmlns:c16="http://schemas.microsoft.com/office/drawing/2014/chart" uri="{C3380CC4-5D6E-409C-BE32-E72D297353CC}">
              <c16:uniqueId val="{00000001-D56C-0F49-8DBE-EEE2B8D2A4A0}"/>
            </c:ext>
          </c:extLst>
        </c:ser>
        <c:dLbls>
          <c:showLegendKey val="0"/>
          <c:showVal val="0"/>
          <c:showCatName val="0"/>
          <c:showSerName val="0"/>
          <c:showPercent val="0"/>
          <c:showBubbleSize val="0"/>
        </c:dLbls>
        <c:gapWidth val="182"/>
        <c:axId val="1093814000"/>
        <c:axId val="1094154560"/>
      </c:barChart>
      <c:catAx>
        <c:axId val="1093814000"/>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94154560"/>
        <c:crosses val="autoZero"/>
        <c:auto val="1"/>
        <c:lblAlgn val="ctr"/>
        <c:lblOffset val="100"/>
        <c:noMultiLvlLbl val="0"/>
      </c:catAx>
      <c:valAx>
        <c:axId val="1094154560"/>
        <c:scaling>
          <c:orientation val="minMax"/>
        </c:scaling>
        <c:delete val="0"/>
        <c:axPos val="b"/>
        <c:majorGridlines>
          <c:spPr>
            <a:ln w="9525" cap="flat" cmpd="sng" algn="ctr">
              <a:solidFill>
                <a:schemeClr val="tx1">
                  <a:lumMod val="15%"/>
                  <a:lumOff val="85%"/>
                </a:schemeClr>
              </a:solidFill>
              <a:round/>
            </a:ln>
            <a:effectLst/>
          </c:spPr>
        </c:majorGridlines>
        <c:numFmt formatCode="_-[$$-1009]* #,##0.00_-;\-[$$-1009]* #,##0.00_-;_-[$$-10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9381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[construction_projects.xlsx]Cost Variance % by Region!PivotTable2</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'Cost Variance % by Region'!$B$3:$B$4</c:f>
              <c:strCache>
                <c:ptCount val="1"/>
                <c:pt idx="0">
                  <c:v>Total</c:v>
                </c:pt>
              </c:strCache>
            </c:strRef>
          </c:tx>
          <c:spPr>
            <a:solidFill>
              <a:schemeClr val="accent1"/>
            </a:solidFill>
            <a:ln>
              <a:noFill/>
            </a:ln>
            <a:effectLst/>
          </c:spPr>
          <c:invertIfNegative val="0"/>
          <c:cat>
            <c:strRef>
              <c:f>'Cost Variance % by Region'!$A$5:$A$11</c:f>
              <c:strCache>
                <c:ptCount val="6"/>
                <c:pt idx="0">
                  <c:v>Brampton</c:v>
                </c:pt>
                <c:pt idx="1">
                  <c:v>Hamilton</c:v>
                </c:pt>
                <c:pt idx="2">
                  <c:v>Mississauga</c:v>
                </c:pt>
                <c:pt idx="3">
                  <c:v>Ottawa</c:v>
                </c:pt>
                <c:pt idx="4">
                  <c:v>Toronto</c:v>
                </c:pt>
                <c:pt idx="5">
                  <c:v>Vaughan</c:v>
                </c:pt>
              </c:strCache>
            </c:strRef>
          </c:cat>
          <c:val>
            <c:numRef>
              <c:f>'Cost Variance % by Region'!$B$5:$B$11</c:f>
              <c:numCache>
                <c:formatCode>General</c:formatCode>
                <c:ptCount val="6"/>
                <c:pt idx="0">
                  <c:v>20.62857142857143</c:v>
                </c:pt>
                <c:pt idx="1">
                  <c:v>11.112500000000001</c:v>
                </c:pt>
                <c:pt idx="2">
                  <c:v>10.940000000000001</c:v>
                </c:pt>
                <c:pt idx="3">
                  <c:v>14.329999999999998</c:v>
                </c:pt>
                <c:pt idx="4">
                  <c:v>14.970000000000002</c:v>
                </c:pt>
                <c:pt idx="5">
                  <c:v>21.04</c:v>
                </c:pt>
              </c:numCache>
            </c:numRef>
          </c:val>
          <c:extLst>
            <c:ext xmlns:c16="http://schemas.microsoft.com/office/drawing/2014/chart" uri="{C3380CC4-5D6E-409C-BE32-E72D297353CC}">
              <c16:uniqueId val="{00000001-1075-ED4E-BD68-7DE2112A4121}"/>
            </c:ext>
          </c:extLst>
        </c:ser>
        <c:dLbls>
          <c:showLegendKey val="0"/>
          <c:showVal val="0"/>
          <c:showCatName val="0"/>
          <c:showSerName val="0"/>
          <c:showPercent val="0"/>
          <c:showBubbleSize val="0"/>
        </c:dLbls>
        <c:gapWidth val="150"/>
        <c:axId val="1166063136"/>
        <c:axId val="1166532544"/>
      </c:barChart>
      <c:catAx>
        <c:axId val="1166063136"/>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66532544"/>
        <c:crosses val="autoZero"/>
        <c:auto val="1"/>
        <c:lblAlgn val="ctr"/>
        <c:lblOffset val="100"/>
        <c:noMultiLvlLbl val="0"/>
      </c:catAx>
      <c:valAx>
        <c:axId val="1166532544"/>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6606313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chart>
  <c:spPr>
    <a:ln>
      <a:solidFill>
        <a:schemeClr val="tx1">
          <a:lumMod val="15%"/>
          <a:lumOff val="85%"/>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[construction_projects.xlsx]Project Status!PivotTable3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'Project Status'!$B$3:$B$4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3F-4242-B9EB-C891608504AD}"/>
              </c:ext>
            </c:extLst>
          </c:dPt>
          <c:cat>
            <c:strRef>
              <c:f>'Project Status'!$A$5:$A$6</c:f>
              <c:strCache>
                <c:ptCount val="1"/>
                <c:pt idx="0">
                  <c:v>Completed</c:v>
                </c:pt>
              </c:strCache>
            </c:strRef>
          </c:cat>
          <c:val>
            <c:numRef>
              <c:f>'Project Status'!$B$5:$B$6</c:f>
              <c:numCache>
                <c:formatCode>General</c:formatCode>
                <c:ptCount val="1"/>
                <c:pt idx="0">
                  <c:v>50</c:v>
                </c:pt>
              </c:numCache>
            </c:numRef>
          </c:val>
          <c:extLst>
            <c:ext xmlns:c16="http://schemas.microsoft.com/office/drawing/2014/chart" uri="{C3380CC4-5D6E-409C-BE32-E72D297353CC}">
              <c16:uniqueId val="{00000002-FA3F-4242-B9EB-C891608504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[construction_projects.xlsx]Cost Breakdown!PivotTable4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'Cost Breakdown'!$B$3:$B$4</c:f>
              <c:strCache>
                <c:ptCount val="1"/>
                <c:pt idx="0">
                  <c:v>Sum of Labor_Cost_CAD</c:v>
                </c:pt>
              </c:strCache>
            </c:strRef>
          </c:tx>
          <c:spPr>
            <a:solidFill>
              <a:schemeClr val="accent1"/>
            </a:solidFill>
            <a:ln>
              <a:noFill/>
            </a:ln>
            <a:effectLst/>
          </c:spPr>
          <c:invertIfNegative val="0"/>
          <c:cat>
            <c:strRef>
              <c:f>'Cost Breakdown'!$A$5:$A$11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'Cost Breakdown'!$B$5:$B$11</c:f>
              <c:numCache>
                <c:formatCode>General</c:formatCode>
                <c:ptCount val="6"/>
                <c:pt idx="0">
                  <c:v>84570049.780000001</c:v>
                </c:pt>
                <c:pt idx="1">
                  <c:v>108205778.11000001</c:v>
                </c:pt>
                <c:pt idx="2">
                  <c:v>32232648.109999999</c:v>
                </c:pt>
                <c:pt idx="3">
                  <c:v>45773197.409999996</c:v>
                </c:pt>
                <c:pt idx="4">
                  <c:v>148163804.56</c:v>
                </c:pt>
                <c:pt idx="5">
                  <c:v>83815191.609999999</c:v>
                </c:pt>
              </c:numCache>
            </c:numRef>
          </c:val>
          <c:extLst>
            <c:ext xmlns:c16="http://schemas.microsoft.com/office/drawing/2014/chart" uri="{C3380CC4-5D6E-409C-BE32-E72D297353CC}">
              <c16:uniqueId val="{00000000-954A-3749-99BF-1E697FBEE5AE}"/>
            </c:ext>
          </c:extLst>
        </c:ser>
        <c:ser>
          <c:idx val="1"/>
          <c:order val="1"/>
          <c:tx>
            <c:strRef>
              <c:f>'Cost Breakdown'!$C$3:$C$4</c:f>
              <c:strCache>
                <c:ptCount val="1"/>
                <c:pt idx="0">
                  <c:v>Sum of Material_Cost_CAD</c:v>
                </c:pt>
              </c:strCache>
            </c:strRef>
          </c:tx>
          <c:spPr>
            <a:solidFill>
              <a:schemeClr val="accent2"/>
            </a:solidFill>
            <a:ln>
              <a:noFill/>
            </a:ln>
            <a:effectLst/>
          </c:spPr>
          <c:invertIfNegative val="0"/>
          <c:cat>
            <c:strRef>
              <c:f>'Cost Breakdown'!$A$5:$A$11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'Cost Breakdown'!$C$5:$C$11</c:f>
              <c:numCache>
                <c:formatCode>General</c:formatCode>
                <c:ptCount val="6"/>
                <c:pt idx="0">
                  <c:v>94417332.950000018</c:v>
                </c:pt>
                <c:pt idx="1">
                  <c:v>132330439.03</c:v>
                </c:pt>
                <c:pt idx="2">
                  <c:v>31407150.379999995</c:v>
                </c:pt>
                <c:pt idx="3">
                  <c:v>51582182.710000008</c:v>
                </c:pt>
                <c:pt idx="4">
                  <c:v>174563790.66</c:v>
                </c:pt>
                <c:pt idx="5">
                  <c:v>88725096.340000004</c:v>
                </c:pt>
              </c:numCache>
            </c:numRef>
          </c:val>
          <c:extLst>
            <c:ext xmlns:c16="http://schemas.microsoft.com/office/drawing/2014/chart" uri="{C3380CC4-5D6E-409C-BE32-E72D297353CC}">
              <c16:uniqueId val="{00000001-954A-3749-99BF-1E697FBEE5AE}"/>
            </c:ext>
          </c:extLst>
        </c:ser>
        <c:ser>
          <c:idx val="2"/>
          <c:order val="2"/>
          <c:tx>
            <c:strRef>
              <c:f>'Cost Breakdown'!$D$3:$D$4</c:f>
              <c:strCache>
                <c:ptCount val="1"/>
                <c:pt idx="0">
                  <c:v>Sum of Subcontractor_Cost_CAD</c:v>
                </c:pt>
              </c:strCache>
            </c:strRef>
          </c:tx>
          <c:spPr>
            <a:solidFill>
              <a:schemeClr val="accent3"/>
            </a:solidFill>
            <a:ln>
              <a:noFill/>
            </a:ln>
            <a:effectLst/>
          </c:spPr>
          <c:invertIfNegative val="0"/>
          <c:cat>
            <c:strRef>
              <c:f>'Cost Breakdown'!$A$5:$A$11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'Cost Breakdown'!$D$5:$D$11</c:f>
              <c:numCache>
                <c:formatCode>General</c:formatCode>
                <c:ptCount val="6"/>
                <c:pt idx="0">
                  <c:v>46841283.829999998</c:v>
                </c:pt>
                <c:pt idx="1">
                  <c:v>72907053.570000008</c:v>
                </c:pt>
                <c:pt idx="2">
                  <c:v>14442910.83</c:v>
                </c:pt>
                <c:pt idx="3">
                  <c:v>25770629.41</c:v>
                </c:pt>
                <c:pt idx="4">
                  <c:v>112721978.76999998</c:v>
                </c:pt>
                <c:pt idx="5">
                  <c:v>44340315.649999999</c:v>
                </c:pt>
              </c:numCache>
            </c:numRef>
          </c:val>
          <c:extLst>
            <c:ext xmlns:c16="http://schemas.microsoft.com/office/drawing/2014/chart" uri="{C3380CC4-5D6E-409C-BE32-E72D297353CC}">
              <c16:uniqueId val="{00000002-954A-3749-99BF-1E697FBEE5AE}"/>
            </c:ext>
          </c:extLst>
        </c:ser>
        <c:dLbls>
          <c:showLegendKey val="0"/>
          <c:showVal val="0"/>
          <c:showCatName val="0"/>
          <c:showSerName val="0"/>
          <c:showPercent val="0"/>
          <c:showBubbleSize val="0"/>
        </c:dLbls>
        <c:gapWidth val="150"/>
        <c:overlap val="100"/>
        <c:axId val="1157984672"/>
        <c:axId val="1078903072"/>
      </c:barChart>
      <c:catAx>
        <c:axId val="1157984672"/>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78903072"/>
        <c:crosses val="autoZero"/>
        <c:auto val="1"/>
        <c:lblAlgn val="ctr"/>
        <c:lblOffset val="100"/>
        <c:noMultiLvlLbl val="0"/>
      </c:catAx>
      <c:valAx>
        <c:axId val="107890307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5798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[construction_projects.xlsx]Delays by Project Type!PivotTable5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'Delays by Project Type'!$B$3:$B$4</c:f>
              <c:strCache>
                <c:ptCount val="1"/>
                <c:pt idx="0">
                  <c:v>Total</c:v>
                </c:pt>
              </c:strCache>
            </c:strRef>
          </c:tx>
          <c:spPr>
            <a:solidFill>
              <a:schemeClr val="accent1"/>
            </a:solidFill>
            <a:ln>
              <a:noFill/>
            </a:ln>
            <a:effectLst/>
          </c:spPr>
          <c:invertIfNegative val="0"/>
          <c:cat>
            <c:strRef>
              <c:f>'Delays by Project Type'!$A$5:$A$11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'Delays by Project Type'!$B$5:$B$11</c:f>
              <c:numCache>
                <c:formatCode>General</c:formatCode>
                <c:ptCount val="6"/>
                <c:pt idx="0">
                  <c:v>53.714285714285715</c:v>
                </c:pt>
                <c:pt idx="1">
                  <c:v>32.545454545454547</c:v>
                </c:pt>
                <c:pt idx="2">
                  <c:v>8.25</c:v>
                </c:pt>
                <c:pt idx="3">
                  <c:v>35.25</c:v>
                </c:pt>
                <c:pt idx="4">
                  <c:v>47.733333333333334</c:v>
                </c:pt>
                <c:pt idx="5">
                  <c:v>24</c:v>
                </c:pt>
              </c:numCache>
            </c:numRef>
          </c:val>
          <c:extLst>
            <c:ext xmlns:c16="http://schemas.microsoft.com/office/drawing/2014/chart" uri="{C3380CC4-5D6E-409C-BE32-E72D297353CC}">
              <c16:uniqueId val="{00000000-3236-1848-8317-8C8B6D956FAD}"/>
            </c:ext>
          </c:extLst>
        </c:ser>
        <c:dLbls>
          <c:showLegendKey val="0"/>
          <c:showVal val="0"/>
          <c:showCatName val="0"/>
          <c:showSerName val="0"/>
          <c:showPercent val="0"/>
          <c:showBubbleSize val="0"/>
        </c:dLbls>
        <c:gapWidth val="182"/>
        <c:axId val="723467440"/>
        <c:axId val="1106208752"/>
      </c:barChart>
      <c:catAx>
        <c:axId val="723467440"/>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06208752"/>
        <c:crosses val="autoZero"/>
        <c:auto val="1"/>
        <c:lblAlgn val="ctr"/>
        <c:lblOffset val="100"/>
        <c:noMultiLvlLbl val="0"/>
      </c:catAx>
      <c:valAx>
        <c:axId val="110620875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2346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[construction_projects.xlsx]Risk Distribution!PivotTable6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'Risk Distribution'!$B$3:$B$4</c:f>
              <c:strCache>
                <c:ptCount val="1"/>
                <c:pt idx="0">
                  <c:v>Count of Project_ID</c:v>
                </c:pt>
              </c:strCache>
            </c:strRef>
          </c:tx>
          <c:spPr>
            <a:solidFill>
              <a:schemeClr val="accent1"/>
            </a:solidFill>
            <a:ln>
              <a:noFill/>
            </a:ln>
            <a:effectLst/>
          </c:spPr>
          <c:invertIfNegative val="0"/>
          <c:cat>
            <c:strRef>
              <c:f>'Risk Distribution'!$A$5:$A$8</c:f>
              <c:strCache>
                <c:ptCount val="3"/>
                <c:pt idx="0">
                  <c:v>High</c:v>
                </c:pt>
                <c:pt idx="1">
                  <c:v>Low</c:v>
                </c:pt>
                <c:pt idx="2">
                  <c:v>Medium</c:v>
                </c:pt>
              </c:strCache>
            </c:strRef>
          </c:cat>
          <c:val>
            <c:numRef>
              <c:f>'Risk Distribution'!$B$5:$B$8</c:f>
              <c:numCache>
                <c:formatCode>General</c:formatCode>
                <c:ptCount val="3"/>
                <c:pt idx="0">
                  <c:v>18</c:v>
                </c:pt>
                <c:pt idx="1">
                  <c:v>15</c:v>
                </c:pt>
                <c:pt idx="2">
                  <c:v>17</c:v>
                </c:pt>
              </c:numCache>
            </c:numRef>
          </c:val>
          <c:extLst>
            <c:ext xmlns:c16="http://schemas.microsoft.com/office/drawing/2014/chart" uri="{C3380CC4-5D6E-409C-BE32-E72D297353CC}">
              <c16:uniqueId val="{00000000-2662-3047-8D24-8CB0F51F105E}"/>
            </c:ext>
          </c:extLst>
        </c:ser>
        <c:ser>
          <c:idx val="1"/>
          <c:order val="1"/>
          <c:tx>
            <c:strRef>
              <c:f>'Risk Distribution'!$C$3:$C$4</c:f>
              <c:strCache>
                <c:ptCount val="1"/>
                <c:pt idx="0">
                  <c:v>Average of Cost_Variance_Pct</c:v>
                </c:pt>
              </c:strCache>
            </c:strRef>
          </c:tx>
          <c:spPr>
            <a:solidFill>
              <a:schemeClr val="accent2"/>
            </a:solidFill>
            <a:ln>
              <a:noFill/>
            </a:ln>
            <a:effectLst/>
          </c:spPr>
          <c:invertIfNegative val="0"/>
          <c:cat>
            <c:strRef>
              <c:f>'Risk Distribution'!$A$5:$A$8</c:f>
              <c:strCache>
                <c:ptCount val="3"/>
                <c:pt idx="0">
                  <c:v>High</c:v>
                </c:pt>
                <c:pt idx="1">
                  <c:v>Low</c:v>
                </c:pt>
                <c:pt idx="2">
                  <c:v>Medium</c:v>
                </c:pt>
              </c:strCache>
            </c:strRef>
          </c:cat>
          <c:val>
            <c:numRef>
              <c:f>'Risk Distribution'!$C$5:$C$8</c:f>
              <c:numCache>
                <c:formatCode>General</c:formatCode>
                <c:ptCount val="3"/>
                <c:pt idx="0">
                  <c:v>16.283333333333331</c:v>
                </c:pt>
                <c:pt idx="1">
                  <c:v>20.266666666666666</c:v>
                </c:pt>
                <c:pt idx="2">
                  <c:v>11.429411764705881</c:v>
                </c:pt>
              </c:numCache>
            </c:numRef>
          </c:val>
          <c:extLst>
            <c:ext xmlns:c16="http://schemas.microsoft.com/office/drawing/2014/chart" uri="{C3380CC4-5D6E-409C-BE32-E72D297353CC}">
              <c16:uniqueId val="{00000001-2662-3047-8D24-8CB0F51F105E}"/>
            </c:ext>
          </c:extLst>
        </c:ser>
        <c:dLbls>
          <c:showLegendKey val="0"/>
          <c:showVal val="0"/>
          <c:showCatName val="0"/>
          <c:showSerName val="0"/>
          <c:showPercent val="0"/>
          <c:showBubbleSize val="0"/>
        </c:dLbls>
        <c:gapWidth val="219"/>
        <c:overlap val="-27"/>
        <c:axId val="767738080"/>
        <c:axId val="719146848"/>
      </c:barChart>
      <c:catAx>
        <c:axId val="767738080"/>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19146848"/>
        <c:crosses val="autoZero"/>
        <c:auto val="1"/>
        <c:lblAlgn val="ctr"/>
        <c:lblOffset val="100"/>
        <c:noMultiLvlLbl val="0"/>
      </c:catAx>
      <c:valAx>
        <c:axId val="719146848"/>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6773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[construction_projects.xlsx]Variance by Project Type!PivotTable7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67842599092652"/>
          <c:y val="4.8221216990298806E-2"/>
          <c:w val="0.55514471261870435"/>
          <c:h val="0.85043414628253078"/>
        </c:manualLayout>
      </c:layout>
      <c:barChart>
        <c:barDir val="bar"/>
        <c:grouping val="clustered"/>
        <c:varyColors val="0"/>
        <c:ser>
          <c:idx val="0"/>
          <c:order val="0"/>
          <c:tx>
            <c:strRef>
              <c:f>'Variance by Project Type'!$B$3:$B$4</c:f>
              <c:strCache>
                <c:ptCount val="1"/>
                <c:pt idx="0">
                  <c:v>Total</c:v>
                </c:pt>
              </c:strCache>
            </c:strRef>
          </c:tx>
          <c:spPr>
            <a:solidFill>
              <a:schemeClr val="accent1"/>
            </a:solidFill>
            <a:ln>
              <a:noFill/>
            </a:ln>
            <a:effectLst/>
          </c:spPr>
          <c:invertIfNegative val="0"/>
          <c:cat>
            <c:strRef>
              <c:f>'Variance by Project Type'!$A$5:$A$11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'Variance by Project Type'!$B$5:$B$11</c:f>
              <c:numCache>
                <c:formatCode>General</c:formatCode>
                <c:ptCount val="6"/>
                <c:pt idx="0">
                  <c:v>22.614285714285717</c:v>
                </c:pt>
                <c:pt idx="1">
                  <c:v>16.936363636363637</c:v>
                </c:pt>
                <c:pt idx="2">
                  <c:v>5.85</c:v>
                </c:pt>
                <c:pt idx="3">
                  <c:v>8.1749999999999989</c:v>
                </c:pt>
                <c:pt idx="4">
                  <c:v>18.459999999999997</c:v>
                </c:pt>
                <c:pt idx="5">
                  <c:v>12.644444444444444</c:v>
                </c:pt>
              </c:numCache>
            </c:numRef>
          </c:val>
          <c:extLst>
            <c:ext xmlns:c16="http://schemas.microsoft.com/office/drawing/2014/chart" uri="{C3380CC4-5D6E-409C-BE32-E72D297353CC}">
              <c16:uniqueId val="{00000000-DF81-2349-99CC-D14D5A717070}"/>
            </c:ext>
          </c:extLst>
        </c:ser>
        <c:dLbls>
          <c:showLegendKey val="0"/>
          <c:showVal val="0"/>
          <c:showCatName val="0"/>
          <c:showSerName val="0"/>
          <c:showPercent val="0"/>
          <c:showBubbleSize val="0"/>
        </c:dLbls>
        <c:gapWidth val="182"/>
        <c:axId val="921074912"/>
        <c:axId val="754216480"/>
      </c:barChart>
      <c:catAx>
        <c:axId val="921074912"/>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54216480"/>
        <c:crosses val="autoZero"/>
        <c:auto val="1"/>
        <c:lblAlgn val="ctr"/>
        <c:lblOffset val="100"/>
        <c:noMultiLvlLbl val="0"/>
      </c:catAx>
      <c:valAx>
        <c:axId val="754216480"/>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92107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[construction_projects.xlsx]Budget vs Actual cost by Projec!PivotTable1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'Budget vs Actual cost by Projec'!$B$3:$B$4</c:f>
              <c:strCache>
                <c:ptCount val="1"/>
                <c:pt idx="0">
                  <c:v>Sum of Planned_Budget_CAD</c:v>
                </c:pt>
              </c:strCache>
            </c:strRef>
          </c:tx>
          <c:spPr>
            <a:solidFill>
              <a:schemeClr val="accent1"/>
            </a:solidFill>
            <a:ln>
              <a:noFill/>
            </a:ln>
            <a:effectLst/>
          </c:spPr>
          <c:invertIfNegative val="0"/>
          <c:cat>
            <c:strRef>
              <c:f>'Budget vs Actual cost by Projec'!$A$5:$A$11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'Budget vs Actual cost by Projec'!$B$5:$B$11</c:f>
              <c:numCache>
                <c:formatCode>_-[$$-1009]* #,##0.00_-;\-[$$-1009]* #,##0.00_-;_-[$$-1009]* "-"??_-;_-@_-</c:formatCode>
                <c:ptCount val="6"/>
                <c:pt idx="0">
                  <c:v>190748764.94</c:v>
                </c:pt>
                <c:pt idx="1">
                  <c:v>264688639.39000002</c:v>
                </c:pt>
                <c:pt idx="2">
                  <c:v>75359960.929999992</c:v>
                </c:pt>
                <c:pt idx="3">
                  <c:v>117368577.47</c:v>
                </c:pt>
                <c:pt idx="4">
                  <c:v>372813960.31000006</c:v>
                </c:pt>
                <c:pt idx="5">
                  <c:v>192257661.38</c:v>
                </c:pt>
              </c:numCache>
            </c:numRef>
          </c:val>
          <c:extLst>
            <c:ext xmlns:c16="http://schemas.microsoft.com/office/drawing/2014/chart" uri="{C3380CC4-5D6E-409C-BE32-E72D297353CC}">
              <c16:uniqueId val="{00000000-41D6-FF45-B9A6-CFAEF6DA07F9}"/>
            </c:ext>
          </c:extLst>
        </c:ser>
        <c:ser>
          <c:idx val="1"/>
          <c:order val="1"/>
          <c:tx>
            <c:strRef>
              <c:f>'Budget vs Actual cost by Projec'!$C$3:$C$4</c:f>
              <c:strCache>
                <c:ptCount val="1"/>
                <c:pt idx="0">
                  <c:v>Sum of Actual_Cost_CAD</c:v>
                </c:pt>
              </c:strCache>
            </c:strRef>
          </c:tx>
          <c:spPr>
            <a:solidFill>
              <a:schemeClr val="accent2"/>
            </a:solidFill>
            <a:ln>
              <a:noFill/>
            </a:ln>
            <a:effectLst/>
          </c:spPr>
          <c:invertIfNegative val="0"/>
          <c:cat>
            <c:strRef>
              <c:f>'Budget vs Actual cost by Projec'!$A$5:$A$11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'Budget vs Actual cost by Projec'!$C$5:$C$11</c:f>
              <c:numCache>
                <c:formatCode>_-[$$-1009]* #,##0.00_-;\-[$$-1009]* #,##0.00_-;_-[$$-1009]* "-"??_-;_-@_-</c:formatCode>
                <c:ptCount val="6"/>
                <c:pt idx="0">
                  <c:v>225828666.56</c:v>
                </c:pt>
                <c:pt idx="1">
                  <c:v>313443270.71000004</c:v>
                </c:pt>
                <c:pt idx="2">
                  <c:v>78082709.319999993</c:v>
                </c:pt>
                <c:pt idx="3">
                  <c:v>123126009.53</c:v>
                </c:pt>
                <c:pt idx="4">
                  <c:v>435449573.99000001</c:v>
                </c:pt>
                <c:pt idx="5">
                  <c:v>216880603.60000002</c:v>
                </c:pt>
              </c:numCache>
            </c:numRef>
          </c:val>
          <c:extLst>
            <c:ext xmlns:c16="http://schemas.microsoft.com/office/drawing/2014/chart" uri="{C3380CC4-5D6E-409C-BE32-E72D297353CC}">
              <c16:uniqueId val="{00000001-41D6-FF45-B9A6-CFAEF6DA07F9}"/>
            </c:ext>
          </c:extLst>
        </c:ser>
        <c:dLbls>
          <c:showLegendKey val="0"/>
          <c:showVal val="0"/>
          <c:showCatName val="0"/>
          <c:showSerName val="0"/>
          <c:showPercent val="0"/>
          <c:showBubbleSize val="0"/>
        </c:dLbls>
        <c:gapWidth val="182"/>
        <c:axId val="1093814000"/>
        <c:axId val="1094154560"/>
      </c:barChart>
      <c:catAx>
        <c:axId val="1093814000"/>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94154560"/>
        <c:crosses val="autoZero"/>
        <c:auto val="1"/>
        <c:lblAlgn val="ctr"/>
        <c:lblOffset val="100"/>
        <c:noMultiLvlLbl val="0"/>
      </c:catAx>
      <c:valAx>
        <c:axId val="1094154560"/>
        <c:scaling>
          <c:orientation val="minMax"/>
        </c:scaling>
        <c:delete val="0"/>
        <c:axPos val="b"/>
        <c:majorGridlines>
          <c:spPr>
            <a:ln w="9525" cap="flat" cmpd="sng" algn="ctr">
              <a:solidFill>
                <a:schemeClr val="tx1">
                  <a:lumMod val="15%"/>
                  <a:lumOff val="85%"/>
                </a:schemeClr>
              </a:solidFill>
              <a:round/>
            </a:ln>
            <a:effectLst/>
          </c:spPr>
        </c:majorGridlines>
        <c:numFmt formatCode="_-[$$-1009]* #,##0.00_-;\-[$$-1009]* #,##0.00_-;_-[$$-10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9381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[construction_projects.xlsx]Cost Variance % by Region!PivotTable2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'Cost Variance % by Region'!$B$3:$B$4</c:f>
              <c:strCache>
                <c:ptCount val="1"/>
                <c:pt idx="0">
                  <c:v>Total</c:v>
                </c:pt>
              </c:strCache>
            </c:strRef>
          </c:tx>
          <c:spPr>
            <a:solidFill>
              <a:schemeClr val="accent1"/>
            </a:solidFill>
            <a:ln>
              <a:noFill/>
            </a:ln>
            <a:effectLst/>
          </c:spPr>
          <c:invertIfNegative val="0"/>
          <c:cat>
            <c:strRef>
              <c:f>'Cost Variance % by Region'!$A$5:$A$11</c:f>
              <c:strCache>
                <c:ptCount val="6"/>
                <c:pt idx="0">
                  <c:v>Brampton</c:v>
                </c:pt>
                <c:pt idx="1">
                  <c:v>Hamilton</c:v>
                </c:pt>
                <c:pt idx="2">
                  <c:v>Mississauga</c:v>
                </c:pt>
                <c:pt idx="3">
                  <c:v>Ottawa</c:v>
                </c:pt>
                <c:pt idx="4">
                  <c:v>Toronto</c:v>
                </c:pt>
                <c:pt idx="5">
                  <c:v>Vaughan</c:v>
                </c:pt>
              </c:strCache>
            </c:strRef>
          </c:cat>
          <c:val>
            <c:numRef>
              <c:f>'Cost Variance % by Region'!$B$5:$B$11</c:f>
              <c:numCache>
                <c:formatCode>General</c:formatCode>
                <c:ptCount val="6"/>
                <c:pt idx="0">
                  <c:v>20.62857142857143</c:v>
                </c:pt>
                <c:pt idx="1">
                  <c:v>11.112500000000001</c:v>
                </c:pt>
                <c:pt idx="2">
                  <c:v>10.940000000000001</c:v>
                </c:pt>
                <c:pt idx="3">
                  <c:v>14.329999999999998</c:v>
                </c:pt>
                <c:pt idx="4">
                  <c:v>14.970000000000002</c:v>
                </c:pt>
                <c:pt idx="5">
                  <c:v>21.04</c:v>
                </c:pt>
              </c:numCache>
            </c:numRef>
          </c:val>
          <c:extLst>
            <c:ext xmlns:c16="http://schemas.microsoft.com/office/drawing/2014/chart" uri="{C3380CC4-5D6E-409C-BE32-E72D297353CC}">
              <c16:uniqueId val="{00000000-D295-3642-854D-93A2AAE3B50D}"/>
            </c:ext>
          </c:extLst>
        </c:ser>
        <c:dLbls>
          <c:showLegendKey val="0"/>
          <c:showVal val="0"/>
          <c:showCatName val="0"/>
          <c:showSerName val="0"/>
          <c:showPercent val="0"/>
          <c:showBubbleSize val="0"/>
        </c:dLbls>
        <c:gapWidth val="150"/>
        <c:overlap val="100"/>
        <c:axId val="1166063136"/>
        <c:axId val="1166532544"/>
      </c:barChart>
      <c:catAx>
        <c:axId val="116606313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66532544"/>
        <c:crosses val="autoZero"/>
        <c:auto val="1"/>
        <c:lblAlgn val="ctr"/>
        <c:lblOffset val="100"/>
        <c:noMultiLvlLbl val="0"/>
      </c:catAx>
      <c:valAx>
        <c:axId val="1166532544"/>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6606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[construction_projects.xlsx]Project Status!PivotTable3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'Project Status'!$B$3:$B$4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B9-A443-B218-C96B05DEFEAA}"/>
              </c:ext>
            </c:extLst>
          </c:dPt>
          <c:cat>
            <c:strRef>
              <c:f>'Project Status'!$A$5:$A$6</c:f>
              <c:strCache>
                <c:ptCount val="1"/>
                <c:pt idx="0">
                  <c:v>Completed</c:v>
                </c:pt>
              </c:strCache>
            </c:strRef>
          </c:cat>
          <c:val>
            <c:numRef>
              <c:f>'Project Status'!$B$5:$B$6</c:f>
              <c:numCache>
                <c:formatCode>General</c:formatCode>
                <c:ptCount val="1"/>
                <c:pt idx="0">
                  <c:v>50</c:v>
                </c:pt>
              </c:numCache>
            </c:numRef>
          </c:val>
          <c:extLst>
            <c:ext xmlns:c16="http://schemas.microsoft.com/office/drawing/2014/chart" uri="{C3380CC4-5D6E-409C-BE32-E72D297353CC}">
              <c16:uniqueId val="{00000000-6EBE-1E4A-89EC-812A95F8A6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[construction_projects.xlsx]Cost Breakdown!PivotTable4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'Cost Breakdown'!$B$3:$B$4</c:f>
              <c:strCache>
                <c:ptCount val="1"/>
                <c:pt idx="0">
                  <c:v>Sum of Labor_Cost_CAD</c:v>
                </c:pt>
              </c:strCache>
            </c:strRef>
          </c:tx>
          <c:spPr>
            <a:solidFill>
              <a:schemeClr val="accent1"/>
            </a:solidFill>
            <a:ln>
              <a:noFill/>
            </a:ln>
            <a:effectLst/>
          </c:spPr>
          <c:invertIfNegative val="0"/>
          <c:cat>
            <c:strRef>
              <c:f>'Cost Breakdown'!$A$5:$A$11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'Cost Breakdown'!$B$5:$B$11</c:f>
              <c:numCache>
                <c:formatCode>General</c:formatCode>
                <c:ptCount val="6"/>
                <c:pt idx="0">
                  <c:v>84570049.780000001</c:v>
                </c:pt>
                <c:pt idx="1">
                  <c:v>108205778.11000001</c:v>
                </c:pt>
                <c:pt idx="2">
                  <c:v>32232648.109999999</c:v>
                </c:pt>
                <c:pt idx="3">
                  <c:v>45773197.409999996</c:v>
                </c:pt>
                <c:pt idx="4">
                  <c:v>148163804.56</c:v>
                </c:pt>
                <c:pt idx="5">
                  <c:v>83815191.609999999</c:v>
                </c:pt>
              </c:numCache>
            </c:numRef>
          </c:val>
          <c:extLst>
            <c:ext xmlns:c16="http://schemas.microsoft.com/office/drawing/2014/chart" uri="{C3380CC4-5D6E-409C-BE32-E72D297353CC}">
              <c16:uniqueId val="{00000000-3553-234F-983A-B0C218751979}"/>
            </c:ext>
          </c:extLst>
        </c:ser>
        <c:ser>
          <c:idx val="1"/>
          <c:order val="1"/>
          <c:tx>
            <c:strRef>
              <c:f>'Cost Breakdown'!$C$3:$C$4</c:f>
              <c:strCache>
                <c:ptCount val="1"/>
                <c:pt idx="0">
                  <c:v>Sum of Material_Cost_CAD</c:v>
                </c:pt>
              </c:strCache>
            </c:strRef>
          </c:tx>
          <c:spPr>
            <a:solidFill>
              <a:schemeClr val="accent2"/>
            </a:solidFill>
            <a:ln>
              <a:noFill/>
            </a:ln>
            <a:effectLst/>
          </c:spPr>
          <c:invertIfNegative val="0"/>
          <c:cat>
            <c:strRef>
              <c:f>'Cost Breakdown'!$A$5:$A$11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'Cost Breakdown'!$C$5:$C$11</c:f>
              <c:numCache>
                <c:formatCode>General</c:formatCode>
                <c:ptCount val="6"/>
                <c:pt idx="0">
                  <c:v>94417332.950000018</c:v>
                </c:pt>
                <c:pt idx="1">
                  <c:v>132330439.03</c:v>
                </c:pt>
                <c:pt idx="2">
                  <c:v>31407150.379999995</c:v>
                </c:pt>
                <c:pt idx="3">
                  <c:v>51582182.710000008</c:v>
                </c:pt>
                <c:pt idx="4">
                  <c:v>174563790.66</c:v>
                </c:pt>
                <c:pt idx="5">
                  <c:v>88725096.340000004</c:v>
                </c:pt>
              </c:numCache>
            </c:numRef>
          </c:val>
          <c:extLst>
            <c:ext xmlns:c16="http://schemas.microsoft.com/office/drawing/2014/chart" uri="{C3380CC4-5D6E-409C-BE32-E72D297353CC}">
              <c16:uniqueId val="{00000001-3553-234F-983A-B0C218751979}"/>
            </c:ext>
          </c:extLst>
        </c:ser>
        <c:ser>
          <c:idx val="2"/>
          <c:order val="2"/>
          <c:tx>
            <c:strRef>
              <c:f>'Cost Breakdown'!$D$3:$D$4</c:f>
              <c:strCache>
                <c:ptCount val="1"/>
                <c:pt idx="0">
                  <c:v>Sum of Subcontractor_Cost_CAD</c:v>
                </c:pt>
              </c:strCache>
            </c:strRef>
          </c:tx>
          <c:spPr>
            <a:solidFill>
              <a:schemeClr val="accent3"/>
            </a:solidFill>
            <a:ln>
              <a:noFill/>
            </a:ln>
            <a:effectLst/>
          </c:spPr>
          <c:invertIfNegative val="0"/>
          <c:cat>
            <c:strRef>
              <c:f>'Cost Breakdown'!$A$5:$A$11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'Cost Breakdown'!$D$5:$D$11</c:f>
              <c:numCache>
                <c:formatCode>General</c:formatCode>
                <c:ptCount val="6"/>
                <c:pt idx="0">
                  <c:v>46841283.829999998</c:v>
                </c:pt>
                <c:pt idx="1">
                  <c:v>72907053.570000008</c:v>
                </c:pt>
                <c:pt idx="2">
                  <c:v>14442910.83</c:v>
                </c:pt>
                <c:pt idx="3">
                  <c:v>25770629.41</c:v>
                </c:pt>
                <c:pt idx="4">
                  <c:v>112721978.76999998</c:v>
                </c:pt>
                <c:pt idx="5">
                  <c:v>44340315.649999999</c:v>
                </c:pt>
              </c:numCache>
            </c:numRef>
          </c:val>
          <c:extLst>
            <c:ext xmlns:c16="http://schemas.microsoft.com/office/drawing/2014/chart" uri="{C3380CC4-5D6E-409C-BE32-E72D297353CC}">
              <c16:uniqueId val="{00000002-3553-234F-983A-B0C218751979}"/>
            </c:ext>
          </c:extLst>
        </c:ser>
        <c:dLbls>
          <c:showLegendKey val="0"/>
          <c:showVal val="0"/>
          <c:showCatName val="0"/>
          <c:showSerName val="0"/>
          <c:showPercent val="0"/>
          <c:showBubbleSize val="0"/>
        </c:dLbls>
        <c:gapWidth val="150"/>
        <c:overlap val="100"/>
        <c:axId val="1157984672"/>
        <c:axId val="1078903072"/>
      </c:barChart>
      <c:catAx>
        <c:axId val="1157984672"/>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78903072"/>
        <c:crosses val="autoZero"/>
        <c:auto val="1"/>
        <c:lblAlgn val="ctr"/>
        <c:lblOffset val="100"/>
        <c:noMultiLvlLbl val="0"/>
      </c:catAx>
      <c:valAx>
        <c:axId val="107890307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5798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[construction_projects.xlsx]Delays by Project Type!PivotTable5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'Delays by Project Type'!$B$3:$B$4</c:f>
              <c:strCache>
                <c:ptCount val="1"/>
                <c:pt idx="0">
                  <c:v>Total</c:v>
                </c:pt>
              </c:strCache>
            </c:strRef>
          </c:tx>
          <c:spPr>
            <a:solidFill>
              <a:schemeClr val="accent1"/>
            </a:solidFill>
            <a:ln>
              <a:noFill/>
            </a:ln>
            <a:effectLst/>
          </c:spPr>
          <c:invertIfNegative val="0"/>
          <c:cat>
            <c:strRef>
              <c:f>'Delays by Project Type'!$A$5:$A$11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'Delays by Project Type'!$B$5:$B$11</c:f>
              <c:numCache>
                <c:formatCode>General</c:formatCode>
                <c:ptCount val="6"/>
                <c:pt idx="0">
                  <c:v>53.714285714285715</c:v>
                </c:pt>
                <c:pt idx="1">
                  <c:v>32.545454545454547</c:v>
                </c:pt>
                <c:pt idx="2">
                  <c:v>8.25</c:v>
                </c:pt>
                <c:pt idx="3">
                  <c:v>35.25</c:v>
                </c:pt>
                <c:pt idx="4">
                  <c:v>47.733333333333334</c:v>
                </c:pt>
                <c:pt idx="5">
                  <c:v>24</c:v>
                </c:pt>
              </c:numCache>
            </c:numRef>
          </c:val>
          <c:extLst>
            <c:ext xmlns:c16="http://schemas.microsoft.com/office/drawing/2014/chart" uri="{C3380CC4-5D6E-409C-BE32-E72D297353CC}">
              <c16:uniqueId val="{00000000-A5B3-5A42-8345-AD3C49ADD01E}"/>
            </c:ext>
          </c:extLst>
        </c:ser>
        <c:dLbls>
          <c:showLegendKey val="0"/>
          <c:showVal val="0"/>
          <c:showCatName val="0"/>
          <c:showSerName val="0"/>
          <c:showPercent val="0"/>
          <c:showBubbleSize val="0"/>
        </c:dLbls>
        <c:gapWidth val="182"/>
        <c:axId val="723467440"/>
        <c:axId val="1106208752"/>
      </c:barChart>
      <c:catAx>
        <c:axId val="723467440"/>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106208752"/>
        <c:crosses val="autoZero"/>
        <c:auto val="1"/>
        <c:lblAlgn val="ctr"/>
        <c:lblOffset val="100"/>
        <c:noMultiLvlLbl val="0"/>
      </c:catAx>
      <c:valAx>
        <c:axId val="110620875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2346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[construction_projects.xlsx]Risk Distribution!PivotTable6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'Risk Distribution'!$B$3:$B$4</c:f>
              <c:strCache>
                <c:ptCount val="1"/>
                <c:pt idx="0">
                  <c:v>Count of Project_ID</c:v>
                </c:pt>
              </c:strCache>
            </c:strRef>
          </c:tx>
          <c:spPr>
            <a:solidFill>
              <a:schemeClr val="accent1"/>
            </a:solidFill>
            <a:ln>
              <a:noFill/>
            </a:ln>
            <a:effectLst/>
          </c:spPr>
          <c:invertIfNegative val="0"/>
          <c:cat>
            <c:strRef>
              <c:f>'Risk Distribution'!$A$5:$A$8</c:f>
              <c:strCache>
                <c:ptCount val="3"/>
                <c:pt idx="0">
                  <c:v>High</c:v>
                </c:pt>
                <c:pt idx="1">
                  <c:v>Low</c:v>
                </c:pt>
                <c:pt idx="2">
                  <c:v>Medium</c:v>
                </c:pt>
              </c:strCache>
            </c:strRef>
          </c:cat>
          <c:val>
            <c:numRef>
              <c:f>'Risk Distribution'!$B$5:$B$8</c:f>
              <c:numCache>
                <c:formatCode>General</c:formatCode>
                <c:ptCount val="3"/>
                <c:pt idx="0">
                  <c:v>18</c:v>
                </c:pt>
                <c:pt idx="1">
                  <c:v>15</c:v>
                </c:pt>
                <c:pt idx="2">
                  <c:v>17</c:v>
                </c:pt>
              </c:numCache>
            </c:numRef>
          </c:val>
          <c:extLst>
            <c:ext xmlns:c16="http://schemas.microsoft.com/office/drawing/2014/chart" uri="{C3380CC4-5D6E-409C-BE32-E72D297353CC}">
              <c16:uniqueId val="{00000000-E2D9-C64C-943B-F5C714B4B809}"/>
            </c:ext>
          </c:extLst>
        </c:ser>
        <c:ser>
          <c:idx val="1"/>
          <c:order val="1"/>
          <c:tx>
            <c:strRef>
              <c:f>'Risk Distribution'!$C$3:$C$4</c:f>
              <c:strCache>
                <c:ptCount val="1"/>
                <c:pt idx="0">
                  <c:v>Average of Cost_Variance_Pct</c:v>
                </c:pt>
              </c:strCache>
            </c:strRef>
          </c:tx>
          <c:spPr>
            <a:solidFill>
              <a:schemeClr val="accent2"/>
            </a:solidFill>
            <a:ln>
              <a:noFill/>
            </a:ln>
            <a:effectLst/>
          </c:spPr>
          <c:invertIfNegative val="0"/>
          <c:cat>
            <c:strRef>
              <c:f>'Risk Distribution'!$A$5:$A$8</c:f>
              <c:strCache>
                <c:ptCount val="3"/>
                <c:pt idx="0">
                  <c:v>High</c:v>
                </c:pt>
                <c:pt idx="1">
                  <c:v>Low</c:v>
                </c:pt>
                <c:pt idx="2">
                  <c:v>Medium</c:v>
                </c:pt>
              </c:strCache>
            </c:strRef>
          </c:cat>
          <c:val>
            <c:numRef>
              <c:f>'Risk Distribution'!$C$5:$C$8</c:f>
              <c:numCache>
                <c:formatCode>General</c:formatCode>
                <c:ptCount val="3"/>
                <c:pt idx="0">
                  <c:v>16.283333333333331</c:v>
                </c:pt>
                <c:pt idx="1">
                  <c:v>20.266666666666666</c:v>
                </c:pt>
                <c:pt idx="2">
                  <c:v>11.429411764705881</c:v>
                </c:pt>
              </c:numCache>
            </c:numRef>
          </c:val>
          <c:extLst>
            <c:ext xmlns:c16="http://schemas.microsoft.com/office/drawing/2014/chart" uri="{C3380CC4-5D6E-409C-BE32-E72D297353CC}">
              <c16:uniqueId val="{00000001-E2D9-C64C-943B-F5C714B4B809}"/>
            </c:ext>
          </c:extLst>
        </c:ser>
        <c:dLbls>
          <c:showLegendKey val="0"/>
          <c:showVal val="0"/>
          <c:showCatName val="0"/>
          <c:showSerName val="0"/>
          <c:showPercent val="0"/>
          <c:showBubbleSize val="0"/>
        </c:dLbls>
        <c:gapWidth val="219"/>
        <c:overlap val="-27"/>
        <c:axId val="767738080"/>
        <c:axId val="719146848"/>
      </c:barChart>
      <c:catAx>
        <c:axId val="767738080"/>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19146848"/>
        <c:crosses val="autoZero"/>
        <c:auto val="1"/>
        <c:lblAlgn val="ctr"/>
        <c:lblOffset val="100"/>
        <c:noMultiLvlLbl val="0"/>
      </c:catAx>
      <c:valAx>
        <c:axId val="719146848"/>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6773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[construction_projects.xlsx]Variance by Project Type!PivotTable7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'Variance by Project Type'!$B$3:$B$4</c:f>
              <c:strCache>
                <c:ptCount val="1"/>
                <c:pt idx="0">
                  <c:v>Total</c:v>
                </c:pt>
              </c:strCache>
            </c:strRef>
          </c:tx>
          <c:spPr>
            <a:solidFill>
              <a:schemeClr val="accent1"/>
            </a:solidFill>
            <a:ln>
              <a:noFill/>
            </a:ln>
            <a:effectLst/>
          </c:spPr>
          <c:invertIfNegative val="0"/>
          <c:cat>
            <c:strRef>
              <c:f>'Variance by Project Type'!$A$5:$A$11</c:f>
              <c:strCache>
                <c:ptCount val="6"/>
                <c:pt idx="0">
                  <c:v>Commercial Office</c:v>
                </c:pt>
                <c:pt idx="1">
                  <c:v>Industrial Warehouse</c:v>
                </c:pt>
                <c:pt idx="2">
                  <c:v>Infrastructure</c:v>
                </c:pt>
                <c:pt idx="3">
                  <c:v>Mixed-Use Development</c:v>
                </c:pt>
                <c:pt idx="4">
                  <c:v>Residential High-Rise</c:v>
                </c:pt>
                <c:pt idx="5">
                  <c:v>Retail Complex</c:v>
                </c:pt>
              </c:strCache>
            </c:strRef>
          </c:cat>
          <c:val>
            <c:numRef>
              <c:f>'Variance by Project Type'!$B$5:$B$11</c:f>
              <c:numCache>
                <c:formatCode>General</c:formatCode>
                <c:ptCount val="6"/>
                <c:pt idx="0">
                  <c:v>22.614285714285717</c:v>
                </c:pt>
                <c:pt idx="1">
                  <c:v>16.936363636363637</c:v>
                </c:pt>
                <c:pt idx="2">
                  <c:v>5.85</c:v>
                </c:pt>
                <c:pt idx="3">
                  <c:v>8.1749999999999989</c:v>
                </c:pt>
                <c:pt idx="4">
                  <c:v>18.459999999999997</c:v>
                </c:pt>
                <c:pt idx="5">
                  <c:v>12.644444444444444</c:v>
                </c:pt>
              </c:numCache>
            </c:numRef>
          </c:val>
          <c:extLst>
            <c:ext xmlns:c16="http://schemas.microsoft.com/office/drawing/2014/chart" uri="{C3380CC4-5D6E-409C-BE32-E72D297353CC}">
              <c16:uniqueId val="{00000000-EADF-5E42-9821-B629E7AE6275}"/>
            </c:ext>
          </c:extLst>
        </c:ser>
        <c:dLbls>
          <c:showLegendKey val="0"/>
          <c:showVal val="0"/>
          <c:showCatName val="0"/>
          <c:showSerName val="0"/>
          <c:showPercent val="0"/>
          <c:showBubbleSize val="0"/>
        </c:dLbls>
        <c:gapWidth val="182"/>
        <c:axId val="921074912"/>
        <c:axId val="754216480"/>
      </c:barChart>
      <c:catAx>
        <c:axId val="921074912"/>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54216480"/>
        <c:crosses val="autoZero"/>
        <c:auto val="1"/>
        <c:lblAlgn val="ctr"/>
        <c:lblOffset val="100"/>
        <c:noMultiLvlLbl val="0"/>
      </c:catAx>
      <c:valAx>
        <c:axId val="754216480"/>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92107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0.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7" Type="http://purl.oclc.org/ooxml/officeDocument/relationships/chart" Target="../charts/chart7.xml"/><Relationship Id="rId2" Type="http://purl.oclc.org/ooxml/officeDocument/relationships/chart" Target="../charts/chart2.xml"/><Relationship Id="rId1" Type="http://purl.oclc.org/ooxml/officeDocument/relationships/chart" Target="../charts/chart1.xml"/><Relationship Id="rId6" Type="http://purl.oclc.org/ooxml/officeDocument/relationships/chart" Target="../charts/chart6.xml"/><Relationship Id="rId5" Type="http://purl.oclc.org/ooxml/officeDocument/relationships/chart" Target="../charts/chart5.xml"/><Relationship Id="rId4" Type="http://purl.oclc.org/ooxml/officeDocument/relationships/chart" Target="../charts/chart4.xml"/></Relationships>
</file>

<file path=xl/drawings/_rels/drawing5.xml.rels><?xml version="1.0" encoding="UTF-8" standalone="yes"?>
<Relationships xmlns="http://schemas.openxmlformats.org/package/2006/relationships"><Relationship Id="rId1" Type="http://purl.oclc.org/ooxml/officeDocument/relationships/chart" Target="../charts/chart8.xml"/></Relationships>
</file>

<file path=xl/drawings/_rels/drawing6.xml.rels><?xml version="1.0" encoding="UTF-8" standalone="yes"?>
<Relationships xmlns="http://schemas.openxmlformats.org/package/2006/relationships"><Relationship Id="rId1" Type="http://purl.oclc.org/ooxml/officeDocument/relationships/chart" Target="../charts/chart9.xml"/></Relationships>
</file>

<file path=xl/drawings/_rels/drawing7.xml.rels><?xml version="1.0" encoding="UTF-8" standalone="yes"?>
<Relationships xmlns="http://schemas.openxmlformats.org/package/2006/relationships"><Relationship Id="rId1" Type="http://purl.oclc.org/ooxml/officeDocument/relationships/chart" Target="../charts/chart10.xml"/></Relationships>
</file>

<file path=xl/drawings/_rels/drawing8.xml.rels><?xml version="1.0" encoding="UTF-8" standalone="yes"?>
<Relationships xmlns="http://schemas.openxmlformats.org/package/2006/relationships"><Relationship Id="rId1" Type="http://purl.oclc.org/ooxml/officeDocument/relationships/chart" Target="../charts/chart11.xml"/></Relationships>
</file>

<file path=xl/drawings/_rels/drawing9.xml.rels><?xml version="1.0" encoding="UTF-8" standalone="yes"?>
<Relationships xmlns="http://schemas.openxmlformats.org/package/2006/relationships"><Relationship Id="rId1" Type="http://purl.oclc.org/ooxml/officeDocument/relationships/chart" Target="../charts/chart12.xml"/></Relationships>
</file>

<file path=xl/drawings/_rels/drawing10.xml.rels><?xml version="1.0" encoding="UTF-8" standalone="yes"?>
<Relationships xmlns="http://schemas.openxmlformats.org/package/2006/relationships"><Relationship Id="rId1" Type="http://purl.oclc.org/ooxml/officeDocument/relationships/chart" Target="../charts/chart13.xml"/></Relationships>
</file>

<file path=xl/drawings/_rels/drawing11.xml.rels><?xml version="1.0" encoding="UTF-8" standalone="yes"?>
<Relationships xmlns="http://schemas.openxmlformats.org/package/2006/relationships"><Relationship Id="rId1" Type="http://purl.oclc.org/ooxml/officeDocument/relationships/chart" Target="../charts/chart14.xml"/></Relationships>
</file>

<file path=xl/drawings/drawing1.xml><?xml version="1.0" encoding="utf-8"?>
<xdr:wsDr xmlns:xdr="http://purl.oclc.org/ooxml/drawingml/spreadsheetDrawing" xmlns:a="http://purl.oclc.org/ooxml/drawingml/main">
  <xdr:twoCellAnchor>
    <xdr:from>
      <xdr:col>0</xdr:col>
      <xdr:colOff>127000</xdr:colOff>
      <xdr:row>5</xdr:row>
      <xdr:rowOff>25400</xdr:rowOff>
    </xdr:from>
    <xdr:to>
      <xdr:col>5</xdr:col>
      <xdr:colOff>571500</xdr:colOff>
      <xdr:row>18</xdr:row>
      <xdr:rowOff>127000</xdr:rowOff>
    </xdr:to>
    <xdr:graphicFrame macro="">
      <xdr:nvGraphicFramePr>
        <xdr:cNvPr id="2" name="Chart 1">
          <a:extLst>
            <a:ext uri="{FF2B5EF4-FFF2-40B4-BE49-F238E27FC236}">
              <a16:creationId xmlns:a16="http://schemas.microsoft.com/office/drawing/2014/main" id="{6B130AEE-406C-9A44-87D7-62B7AA34B241}"/>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oneCellAnchor>
    <xdr:from>
      <xdr:col>3</xdr:col>
      <xdr:colOff>530225</xdr:colOff>
      <xdr:row>5</xdr:row>
      <xdr:rowOff>79375</xdr:rowOff>
    </xdr:from>
    <xdr:ext cx="2556084" cy="280205"/>
    <xdr:sp macro="" textlink="">
      <xdr:nvSpPr>
        <xdr:cNvPr id="3" name="TextBox 2">
          <a:extLst>
            <a:ext uri="{FF2B5EF4-FFF2-40B4-BE49-F238E27FC236}">
              <a16:creationId xmlns:a16="http://schemas.microsoft.com/office/drawing/2014/main" id="{9DDA46AC-0FFC-0C09-EF75-72335EB33D74}"/>
            </a:ext>
          </a:extLst>
        </xdr:cNvPr>
        <xdr:cNvSpPr txBox="1"/>
      </xdr:nvSpPr>
      <xdr:spPr>
        <a:xfrm>
          <a:off x="3006725" y="1285875"/>
          <a:ext cx="25560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t>Budget</a:t>
          </a:r>
          <a:r>
            <a:rPr lang="en-US" sz="1200" b="1" baseline="0%"/>
            <a:t> VS Actual Cost by Project type</a:t>
          </a:r>
          <a:endParaRPr lang="en-US" sz="1200" b="1"/>
        </a:p>
      </xdr:txBody>
    </xdr:sp>
    <xdr:clientData/>
  </xdr:oneCellAnchor>
  <xdr:twoCellAnchor>
    <xdr:from>
      <xdr:col>5</xdr:col>
      <xdr:colOff>847725</xdr:colOff>
      <xdr:row>5</xdr:row>
      <xdr:rowOff>41275</xdr:rowOff>
    </xdr:from>
    <xdr:to>
      <xdr:col>10</xdr:col>
      <xdr:colOff>434975</xdr:colOff>
      <xdr:row>18</xdr:row>
      <xdr:rowOff>142875</xdr:rowOff>
    </xdr:to>
    <xdr:graphicFrame macro="">
      <xdr:nvGraphicFramePr>
        <xdr:cNvPr id="4" name="Chart 3">
          <a:extLst>
            <a:ext uri="{FF2B5EF4-FFF2-40B4-BE49-F238E27FC236}">
              <a16:creationId xmlns:a16="http://schemas.microsoft.com/office/drawing/2014/main" id="{2820E2F4-C3D8-F649-9C62-356613CE77E6}"/>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oneCellAnchor>
    <xdr:from>
      <xdr:col>8</xdr:col>
      <xdr:colOff>257745</xdr:colOff>
      <xdr:row>5</xdr:row>
      <xdr:rowOff>44857</xdr:rowOff>
    </xdr:from>
    <xdr:ext cx="1857881" cy="280205"/>
    <xdr:sp macro="" textlink="">
      <xdr:nvSpPr>
        <xdr:cNvPr id="6" name="TextBox 5">
          <a:extLst>
            <a:ext uri="{FF2B5EF4-FFF2-40B4-BE49-F238E27FC236}">
              <a16:creationId xmlns:a16="http://schemas.microsoft.com/office/drawing/2014/main" id="{AE7DFF08-639D-E162-6BBB-67EA3695235D}"/>
            </a:ext>
          </a:extLst>
        </xdr:cNvPr>
        <xdr:cNvSpPr txBox="1"/>
      </xdr:nvSpPr>
      <xdr:spPr>
        <a:xfrm>
          <a:off x="8576245" y="1251357"/>
          <a:ext cx="185788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t>% Cost Variance by Region</a:t>
          </a:r>
        </a:p>
      </xdr:txBody>
    </xdr:sp>
    <xdr:clientData/>
  </xdr:oneCellAnchor>
  <xdr:twoCellAnchor>
    <xdr:from>
      <xdr:col>0</xdr:col>
      <xdr:colOff>127000</xdr:colOff>
      <xdr:row>19</xdr:row>
      <xdr:rowOff>12700</xdr:rowOff>
    </xdr:from>
    <xdr:to>
      <xdr:col>5</xdr:col>
      <xdr:colOff>571500</xdr:colOff>
      <xdr:row>32</xdr:row>
      <xdr:rowOff>114300</xdr:rowOff>
    </xdr:to>
    <xdr:graphicFrame macro="">
      <xdr:nvGraphicFramePr>
        <xdr:cNvPr id="8" name="Chart 7">
          <a:extLst>
            <a:ext uri="{FF2B5EF4-FFF2-40B4-BE49-F238E27FC236}">
              <a16:creationId xmlns:a16="http://schemas.microsoft.com/office/drawing/2014/main" id="{AB0E35C2-23AC-1240-A814-D7C2FEDF26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oneCellAnchor>
    <xdr:from>
      <xdr:col>3</xdr:col>
      <xdr:colOff>1593850</xdr:colOff>
      <xdr:row>19</xdr:row>
      <xdr:rowOff>130175</xdr:rowOff>
    </xdr:from>
    <xdr:ext cx="1079013" cy="280205"/>
    <xdr:sp macro="" textlink="">
      <xdr:nvSpPr>
        <xdr:cNvPr id="9" name="TextBox 8">
          <a:extLst>
            <a:ext uri="{FF2B5EF4-FFF2-40B4-BE49-F238E27FC236}">
              <a16:creationId xmlns:a16="http://schemas.microsoft.com/office/drawing/2014/main" id="{B4E066D4-373A-67D5-12D4-953FDF4028D2}"/>
            </a:ext>
          </a:extLst>
        </xdr:cNvPr>
        <xdr:cNvSpPr txBox="1"/>
      </xdr:nvSpPr>
      <xdr:spPr>
        <a:xfrm>
          <a:off x="4070350" y="4225925"/>
          <a:ext cx="10790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t>Project Status</a:t>
          </a:r>
        </a:p>
      </xdr:txBody>
    </xdr:sp>
    <xdr:clientData/>
  </xdr:oneCellAnchor>
  <xdr:twoCellAnchor>
    <xdr:from>
      <xdr:col>5</xdr:col>
      <xdr:colOff>847725</xdr:colOff>
      <xdr:row>19</xdr:row>
      <xdr:rowOff>60325</xdr:rowOff>
    </xdr:from>
    <xdr:to>
      <xdr:col>10</xdr:col>
      <xdr:colOff>434975</xdr:colOff>
      <xdr:row>32</xdr:row>
      <xdr:rowOff>161925</xdr:rowOff>
    </xdr:to>
    <xdr:graphicFrame macro="">
      <xdr:nvGraphicFramePr>
        <xdr:cNvPr id="10" name="Chart 9">
          <a:extLst>
            <a:ext uri="{FF2B5EF4-FFF2-40B4-BE49-F238E27FC236}">
              <a16:creationId xmlns:a16="http://schemas.microsoft.com/office/drawing/2014/main" id="{25977E74-5957-D946-A30B-45B54C33D27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0</xdr:col>
      <xdr:colOff>128427</xdr:colOff>
      <xdr:row>33</xdr:row>
      <xdr:rowOff>28539</xdr:rowOff>
    </xdr:from>
    <xdr:to>
      <xdr:col>5</xdr:col>
      <xdr:colOff>562225</xdr:colOff>
      <xdr:row>46</xdr:row>
      <xdr:rowOff>174660</xdr:rowOff>
    </xdr:to>
    <xdr:graphicFrame macro="">
      <xdr:nvGraphicFramePr>
        <xdr:cNvPr id="11" name="Chart 10">
          <a:extLst>
            <a:ext uri="{FF2B5EF4-FFF2-40B4-BE49-F238E27FC236}">
              <a16:creationId xmlns:a16="http://schemas.microsoft.com/office/drawing/2014/main" id="{E28C2402-7AF3-1849-856E-D7E48CFAFB6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5</xdr:col>
      <xdr:colOff>854039</xdr:colOff>
      <xdr:row>33</xdr:row>
      <xdr:rowOff>60290</xdr:rowOff>
    </xdr:from>
    <xdr:to>
      <xdr:col>10</xdr:col>
      <xdr:colOff>430587</xdr:colOff>
      <xdr:row>47</xdr:row>
      <xdr:rowOff>36</xdr:rowOff>
    </xdr:to>
    <xdr:graphicFrame macro="">
      <xdr:nvGraphicFramePr>
        <xdr:cNvPr id="12" name="Chart 11">
          <a:extLst>
            <a:ext uri="{FF2B5EF4-FFF2-40B4-BE49-F238E27FC236}">
              <a16:creationId xmlns:a16="http://schemas.microsoft.com/office/drawing/2014/main" id="{5A35C194-D5E9-224E-9CC7-D2222F563FF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xdr:from>
      <xdr:col>10</xdr:col>
      <xdr:colOff>636221</xdr:colOff>
      <xdr:row>4</xdr:row>
      <xdr:rowOff>159565</xdr:rowOff>
    </xdr:from>
    <xdr:to>
      <xdr:col>16</xdr:col>
      <xdr:colOff>225914</xdr:colOff>
      <xdr:row>18</xdr:row>
      <xdr:rowOff>167380</xdr:rowOff>
    </xdr:to>
    <xdr:graphicFrame macro="">
      <xdr:nvGraphicFramePr>
        <xdr:cNvPr id="13" name="Chart 12">
          <a:extLst>
            <a:ext uri="{FF2B5EF4-FFF2-40B4-BE49-F238E27FC236}">
              <a16:creationId xmlns:a16="http://schemas.microsoft.com/office/drawing/2014/main" id="{DA16DBE5-4884-9644-B710-518826BC3EA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oneCellAnchor>
    <xdr:from>
      <xdr:col>13</xdr:col>
      <xdr:colOff>590468</xdr:colOff>
      <xdr:row>4</xdr:row>
      <xdr:rowOff>177719</xdr:rowOff>
    </xdr:from>
    <xdr:ext cx="2108847" cy="264560"/>
    <xdr:sp macro="" textlink="">
      <xdr:nvSpPr>
        <xdr:cNvPr id="15" name="TextBox 14">
          <a:extLst>
            <a:ext uri="{FF2B5EF4-FFF2-40B4-BE49-F238E27FC236}">
              <a16:creationId xmlns:a16="http://schemas.microsoft.com/office/drawing/2014/main" id="{AABD732D-CD7E-1241-8977-EB5074C7A98A}"/>
            </a:ext>
          </a:extLst>
        </xdr:cNvPr>
        <xdr:cNvSpPr txBox="1"/>
      </xdr:nvSpPr>
      <xdr:spPr>
        <a:xfrm>
          <a:off x="13036468" y="1177844"/>
          <a:ext cx="210884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 Cost Variance b y Project</a:t>
          </a:r>
          <a:r>
            <a:rPr lang="en-US" sz="1100" b="1" baseline="0%"/>
            <a:t> Trype</a:t>
          </a:r>
          <a:endParaRPr lang="en-US" sz="1100" b="1"/>
        </a:p>
      </xdr:txBody>
    </xdr:sp>
    <xdr:clientData/>
  </xdr:oneCellAnchor>
  <xdr:twoCellAnchor editAs="oneCell">
    <xdr:from>
      <xdr:col>13</xdr:col>
      <xdr:colOff>137746</xdr:colOff>
      <xdr:row>19</xdr:row>
      <xdr:rowOff>108113</xdr:rowOff>
    </xdr:from>
    <xdr:to>
      <xdr:col>15</xdr:col>
      <xdr:colOff>305777</xdr:colOff>
      <xdr:row>32</xdr:row>
      <xdr:rowOff>187485</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BC38538A-CB50-FE2D-DFCF-4F4E10CF67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583746" y="4203863"/>
              <a:ext cx="1819031" cy="2762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634593</xdr:colOff>
      <xdr:row>19</xdr:row>
      <xdr:rowOff>118942</xdr:rowOff>
    </xdr:from>
    <xdr:to>
      <xdr:col>12</xdr:col>
      <xdr:colOff>797739</xdr:colOff>
      <xdr:row>33</xdr:row>
      <xdr:rowOff>2929</xdr:rowOff>
    </xdr:to>
    <mc:AlternateContent xmlns:mc="http://schemas.openxmlformats.org/markup-compatibility/2006">
      <mc:Choice xmlns:a14="http://schemas.microsoft.com/office/drawing/2010/main" Requires="a14">
        <xdr:graphicFrame macro="">
          <xdr:nvGraphicFramePr>
            <xdr:cNvPr id="16" name="Risk_Level">
              <a:extLst>
                <a:ext uri="{FF2B5EF4-FFF2-40B4-BE49-F238E27FC236}">
                  <a16:creationId xmlns:a16="http://schemas.microsoft.com/office/drawing/2014/main" id="{20A03E1D-77D7-FA53-EECF-79E4660E6B03}"/>
                </a:ext>
              </a:extLst>
            </xdr:cNvPr>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dr:sp macro="" textlink="">
          <xdr:nvSpPr>
            <xdr:cNvPr id="0" name=""/>
            <xdr:cNvSpPr>
              <a:spLocks noTextEdit="1"/>
            </xdr:cNvSpPr>
          </xdr:nvSpPr>
          <xdr:spPr>
            <a:xfrm>
              <a:off x="10604093" y="4214692"/>
              <a:ext cx="1814146" cy="2773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purl.oclc.org/ooxml/drawingml/chart">
  <cdr:relSizeAnchor xmlns:cdr="http://purl.oclc.org/ooxml/drawingml/chartDrawing">
    <cdr:from>
      <cdr:x>0.675</cdr:x>
      <cdr:y>0.05268</cdr:y>
    </cdr:from>
    <cdr:to>
      <cdr:x>0.94227</cdr:x>
      <cdr:y>0.15331</cdr:y>
    </cdr:to>
    <cdr:sp macro="" textlink="">
      <cdr:nvSpPr>
        <cdr:cNvPr id="2" name="TextBox 8">
          <a:extLst xmlns:a="http://purl.oclc.org/ooxml/drawingml/main">
            <a:ext uri="{FF2B5EF4-FFF2-40B4-BE49-F238E27FC236}">
              <a16:creationId xmlns:a16="http://schemas.microsoft.com/office/drawing/2014/main" id="{B4E066D4-373A-67D5-12D4-953FDF4028D2}"/>
            </a:ext>
          </a:extLst>
        </cdr:cNvPr>
        <cdr:cNvSpPr txBox="1"/>
      </cdr:nvSpPr>
      <cdr:spPr>
        <a:xfrm xmlns:a="http://purl.oclc.org/ooxml/drawingml/main">
          <a:off x="3086105" y="146690"/>
          <a:ext cx="1221938" cy="280205"/>
        </a:xfrm>
        <a:prstGeom xmlns:a="http://purl.oclc.org/ooxml/drawingml/main" prst="rect">
          <a:avLst/>
        </a:prstGeom>
        <a:noFill xmlns:a="http://purl.oclc.org/ooxml/drawingml/main"/>
      </cdr:spPr>
      <cdr:style>
        <a:lnRef xmlns:a="http://purl.oclc.org/ooxml/drawingml/main" idx="0">
          <a:scrgbClr r="0%" g="0%" b="0%"/>
        </a:lnRef>
        <a:fillRef xmlns:a="http://purl.oclc.org/ooxml/drawingml/main" idx="0">
          <a:scrgbClr r="0%" g="0%" b="0%"/>
        </a:fillRef>
        <a:effectRef xmlns:a="http://purl.oclc.org/ooxml/drawingml/main" idx="0">
          <a:scrgbClr r="0%" g="0%" b="0%"/>
        </a:effectRef>
        <a:fontRef xmlns:a="http://purl.oclc.org/ooxml/drawingml/main" idx="minor">
          <a:schemeClr val="tx1"/>
        </a:fontRef>
      </cdr:style>
      <cdr:txBody>
        <a:bodyPr xmlns:a="http://purl.oclc.org/ooxml/drawingml/main" wrap="none" rtlCol="0" anchor="t">
          <a:spAutoFit/>
        </a:bodyPr>
        <a:lstStyle xmlns:a="http://purl.oclc.org/ooxml/drawingml/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purl.oclc.org/ooxml/drawingml/main">
          <a:r>
            <a:rPr lang="en-US" sz="1200" b="1"/>
            <a:t>Cost Breakdown</a:t>
          </a:r>
        </a:p>
      </cdr:txBody>
    </cdr:sp>
  </cdr:relSizeAnchor>
</c:userShapes>
</file>

<file path=xl/drawings/drawing3.xml><?xml version="1.0" encoding="utf-8"?>
<c:userShapes xmlns:c="http://purl.oclc.org/ooxml/drawingml/chart">
  <cdr:relSizeAnchor xmlns:cdr="http://purl.oclc.org/ooxml/drawingml/chartDrawing">
    <cdr:from>
      <cdr:x>0.67903</cdr:x>
      <cdr:y>0.06534</cdr:y>
    </cdr:from>
    <cdr:to>
      <cdr:x>0.88584</cdr:x>
      <cdr:y>0.16439</cdr:y>
    </cdr:to>
    <cdr:sp macro="" textlink="">
      <cdr:nvSpPr>
        <cdr:cNvPr id="2" name="TextBox 8">
          <a:extLst xmlns:a="http://purl.oclc.org/ooxml/drawingml/main">
            <a:ext uri="{FF2B5EF4-FFF2-40B4-BE49-F238E27FC236}">
              <a16:creationId xmlns:a16="http://schemas.microsoft.com/office/drawing/2014/main" id="{B1EE2B42-6993-C182-A96A-B44F92ABB3E0}"/>
            </a:ext>
          </a:extLst>
        </cdr:cNvPr>
        <cdr:cNvSpPr txBox="1"/>
      </cdr:nvSpPr>
      <cdr:spPr>
        <a:xfrm xmlns:a="http://purl.oclc.org/ooxml/drawingml/main">
          <a:off x="3679357" y="184847"/>
          <a:ext cx="1120628" cy="280205"/>
        </a:xfrm>
        <a:prstGeom xmlns:a="http://purl.oclc.org/ooxml/drawingml/main" prst="rect">
          <a:avLst/>
        </a:prstGeom>
        <a:noFill xmlns:a="http://purl.oclc.org/ooxml/drawingml/main"/>
      </cdr:spPr>
      <cdr:style>
        <a:lnRef xmlns:a="http://purl.oclc.org/ooxml/drawingml/main" idx="0">
          <a:scrgbClr r="0%" g="0%" b="0%"/>
        </a:lnRef>
        <a:fillRef xmlns:a="http://purl.oclc.org/ooxml/drawingml/main" idx="0">
          <a:scrgbClr r="0%" g="0%" b="0%"/>
        </a:fillRef>
        <a:effectRef xmlns:a="http://purl.oclc.org/ooxml/drawingml/main" idx="0">
          <a:scrgbClr r="0%" g="0%" b="0%"/>
        </a:effectRef>
        <a:fontRef xmlns:a="http://purl.oclc.org/ooxml/drawingml/main" idx="minor">
          <a:schemeClr val="tx1"/>
        </a:fontRef>
      </cdr:style>
      <cdr:txBody>
        <a:bodyPr xmlns:a="http://purl.oclc.org/ooxml/drawingml/main" wrap="none" rtlCol="0" anchor="t">
          <a:spAutoFit/>
        </a:bodyPr>
        <a:lstStyle xmlns:a="http://purl.oclc.org/ooxml/drawingml/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purl.oclc.org/ooxml/drawingml/main">
          <a:r>
            <a:rPr lang="en-US" sz="1200" b="1"/>
            <a:t>Delays by Type</a:t>
          </a:r>
        </a:p>
      </cdr:txBody>
    </cdr:sp>
  </cdr:relSizeAnchor>
</c:userShapes>
</file>

<file path=xl/drawings/drawing4.xml><?xml version="1.0" encoding="utf-8"?>
<c:userShapes xmlns:c="http://purl.oclc.org/ooxml/drawingml/chart">
  <cdr:relSizeAnchor xmlns:cdr="http://purl.oclc.org/ooxml/drawingml/chartDrawing">
    <cdr:from>
      <cdr:x>0.68814</cdr:x>
      <cdr:y>0.07356</cdr:y>
    </cdr:from>
    <cdr:to>
      <cdr:x>0.96015</cdr:x>
      <cdr:y>0.17261</cdr:y>
    </cdr:to>
    <cdr:sp macro="" textlink="">
      <cdr:nvSpPr>
        <cdr:cNvPr id="2" name="TextBox 8">
          <a:extLst xmlns:a="http://purl.oclc.org/ooxml/drawingml/main">
            <a:ext uri="{FF2B5EF4-FFF2-40B4-BE49-F238E27FC236}">
              <a16:creationId xmlns:a16="http://schemas.microsoft.com/office/drawing/2014/main" id="{39D2FFF0-6EC8-DD8D-7BD1-15AD1F3D309C}"/>
            </a:ext>
          </a:extLst>
        </cdr:cNvPr>
        <cdr:cNvSpPr txBox="1"/>
      </cdr:nvSpPr>
      <cdr:spPr>
        <a:xfrm xmlns:a="http://purl.oclc.org/ooxml/drawingml/main">
          <a:off x="3138825" y="208108"/>
          <a:ext cx="1240724" cy="280205"/>
        </a:xfrm>
        <a:prstGeom xmlns:a="http://purl.oclc.org/ooxml/drawingml/main" prst="rect">
          <a:avLst/>
        </a:prstGeom>
        <a:noFill xmlns:a="http://purl.oclc.org/ooxml/drawingml/main"/>
      </cdr:spPr>
      <cdr:style>
        <a:lnRef xmlns:a="http://purl.oclc.org/ooxml/drawingml/main" idx="0">
          <a:scrgbClr r="0%" g="0%" b="0%"/>
        </a:lnRef>
        <a:fillRef xmlns:a="http://purl.oclc.org/ooxml/drawingml/main" idx="0">
          <a:scrgbClr r="0%" g="0%" b="0%"/>
        </a:fillRef>
        <a:effectRef xmlns:a="http://purl.oclc.org/ooxml/drawingml/main" idx="0">
          <a:scrgbClr r="0%" g="0%" b="0%"/>
        </a:effectRef>
        <a:fontRef xmlns:a="http://purl.oclc.org/ooxml/drawingml/main" idx="minor">
          <a:schemeClr val="tx1"/>
        </a:fontRef>
      </cdr:style>
      <cdr:txBody>
        <a:bodyPr xmlns:a="http://purl.oclc.org/ooxml/drawingml/main" wrap="none" rtlCol="0" anchor="t">
          <a:spAutoFit/>
        </a:bodyPr>
        <a:lstStyle xmlns:a="http://purl.oclc.org/ooxml/drawingml/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purl.oclc.org/ooxml/drawingml/main">
          <a:r>
            <a:rPr lang="en-US" sz="1200" b="1"/>
            <a:t>Risk</a:t>
          </a:r>
          <a:r>
            <a:rPr lang="en-US" sz="1200" b="1" baseline="0%"/>
            <a:t> Distribution</a:t>
          </a:r>
        </a:p>
      </cdr:txBody>
    </cdr:sp>
  </cdr:relSizeAnchor>
</c:userShapes>
</file>

<file path=xl/drawings/drawing5.xml><?xml version="1.0" encoding="utf-8"?>
<xdr:wsDr xmlns:xdr="http://purl.oclc.org/ooxml/drawingml/spreadsheetDrawing" xmlns:a="http://purl.oclc.org/ooxml/drawingml/main">
  <xdr:twoCellAnchor>
    <xdr:from>
      <xdr:col>3</xdr:col>
      <xdr:colOff>361950</xdr:colOff>
      <xdr:row>4</xdr:row>
      <xdr:rowOff>114300</xdr:rowOff>
    </xdr:from>
    <xdr:to>
      <xdr:col>8</xdr:col>
      <xdr:colOff>806450</xdr:colOff>
      <xdr:row>18</xdr:row>
      <xdr:rowOff>12700</xdr:rowOff>
    </xdr:to>
    <xdr:graphicFrame macro="">
      <xdr:nvGraphicFramePr>
        <xdr:cNvPr id="2" name="Chart 1">
          <a:extLst>
            <a:ext uri="{FF2B5EF4-FFF2-40B4-BE49-F238E27FC236}">
              <a16:creationId xmlns:a16="http://schemas.microsoft.com/office/drawing/2014/main" id="{543F5B7F-A416-A727-63AB-E4DF11D10EC7}"/>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6.xml><?xml version="1.0" encoding="utf-8"?>
<xdr:wsDr xmlns:xdr="http://purl.oclc.org/ooxml/drawingml/spreadsheetDrawing" xmlns:a="http://purl.oclc.org/ooxml/drawingml/main">
  <xdr:twoCellAnchor>
    <xdr:from>
      <xdr:col>2</xdr:col>
      <xdr:colOff>565150</xdr:colOff>
      <xdr:row>9</xdr:row>
      <xdr:rowOff>25400</xdr:rowOff>
    </xdr:from>
    <xdr:to>
      <xdr:col>8</xdr:col>
      <xdr:colOff>184150</xdr:colOff>
      <xdr:row>22</xdr:row>
      <xdr:rowOff>127000</xdr:rowOff>
    </xdr:to>
    <xdr:graphicFrame macro="">
      <xdr:nvGraphicFramePr>
        <xdr:cNvPr id="2" name="Chart 1">
          <a:extLst>
            <a:ext uri="{FF2B5EF4-FFF2-40B4-BE49-F238E27FC236}">
              <a16:creationId xmlns:a16="http://schemas.microsoft.com/office/drawing/2014/main" id="{84023B5D-B4C3-A9E7-9851-1BF9D3D883AE}"/>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7.xml><?xml version="1.0" encoding="utf-8"?>
<xdr:wsDr xmlns:xdr="http://purl.oclc.org/ooxml/drawingml/spreadsheetDrawing" xmlns:a="http://purl.oclc.org/ooxml/drawingml/main">
  <xdr:twoCellAnchor>
    <xdr:from>
      <xdr:col>1</xdr:col>
      <xdr:colOff>323850</xdr:colOff>
      <xdr:row>7</xdr:row>
      <xdr:rowOff>50800</xdr:rowOff>
    </xdr:from>
    <xdr:to>
      <xdr:col>7</xdr:col>
      <xdr:colOff>400050</xdr:colOff>
      <xdr:row>20</xdr:row>
      <xdr:rowOff>152400</xdr:rowOff>
    </xdr:to>
    <xdr:graphicFrame macro="">
      <xdr:nvGraphicFramePr>
        <xdr:cNvPr id="2" name="Chart 1">
          <a:extLst>
            <a:ext uri="{FF2B5EF4-FFF2-40B4-BE49-F238E27FC236}">
              <a16:creationId xmlns:a16="http://schemas.microsoft.com/office/drawing/2014/main" id="{AD239FD4-C0C3-EA9E-1949-8FA8AA14811A}"/>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8.xml><?xml version="1.0" encoding="utf-8"?>
<xdr:wsDr xmlns:xdr="http://purl.oclc.org/ooxml/drawingml/spreadsheetDrawing" xmlns:a="http://purl.oclc.org/ooxml/drawingml/main">
  <xdr:twoCellAnchor>
    <xdr:from>
      <xdr:col>1</xdr:col>
      <xdr:colOff>508000</xdr:colOff>
      <xdr:row>9</xdr:row>
      <xdr:rowOff>25400</xdr:rowOff>
    </xdr:from>
    <xdr:to>
      <xdr:col>3</xdr:col>
      <xdr:colOff>1739900</xdr:colOff>
      <xdr:row>22</xdr:row>
      <xdr:rowOff>127000</xdr:rowOff>
    </xdr:to>
    <xdr:graphicFrame macro="">
      <xdr:nvGraphicFramePr>
        <xdr:cNvPr id="2" name="Chart 1">
          <a:extLst>
            <a:ext uri="{FF2B5EF4-FFF2-40B4-BE49-F238E27FC236}">
              <a16:creationId xmlns:a16="http://schemas.microsoft.com/office/drawing/2014/main" id="{F4D6D4F5-285A-BFC8-54AD-0BA908F02DC2}"/>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9.xml><?xml version="1.0" encoding="utf-8"?>
<xdr:wsDr xmlns:xdr="http://purl.oclc.org/ooxml/drawingml/spreadsheetDrawing" xmlns:a="http://purl.oclc.org/ooxml/drawingml/main">
  <xdr:twoCellAnchor>
    <xdr:from>
      <xdr:col>0</xdr:col>
      <xdr:colOff>762000</xdr:colOff>
      <xdr:row>9</xdr:row>
      <xdr:rowOff>25400</xdr:rowOff>
    </xdr:from>
    <xdr:to>
      <xdr:col>5</xdr:col>
      <xdr:colOff>330200</xdr:colOff>
      <xdr:row>22</xdr:row>
      <xdr:rowOff>127000</xdr:rowOff>
    </xdr:to>
    <xdr:graphicFrame macro="">
      <xdr:nvGraphicFramePr>
        <xdr:cNvPr id="2" name="Chart 1">
          <a:extLst>
            <a:ext uri="{FF2B5EF4-FFF2-40B4-BE49-F238E27FC236}">
              <a16:creationId xmlns:a16="http://schemas.microsoft.com/office/drawing/2014/main" id="{BE30C742-5FC0-093F-2F53-8120E09560D8}"/>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10.xml><?xml version="1.0" encoding="utf-8"?>
<xdr:wsDr xmlns:xdr="http://purl.oclc.org/ooxml/drawingml/spreadsheetDrawing" xmlns:a="http://purl.oclc.org/ooxml/drawingml/main">
  <xdr:twoCellAnchor>
    <xdr:from>
      <xdr:col>0</xdr:col>
      <xdr:colOff>781050</xdr:colOff>
      <xdr:row>9</xdr:row>
      <xdr:rowOff>25400</xdr:rowOff>
    </xdr:from>
    <xdr:to>
      <xdr:col>4</xdr:col>
      <xdr:colOff>387350</xdr:colOff>
      <xdr:row>22</xdr:row>
      <xdr:rowOff>127000</xdr:rowOff>
    </xdr:to>
    <xdr:graphicFrame macro="">
      <xdr:nvGraphicFramePr>
        <xdr:cNvPr id="2" name="Chart 1">
          <a:extLst>
            <a:ext uri="{FF2B5EF4-FFF2-40B4-BE49-F238E27FC236}">
              <a16:creationId xmlns:a16="http://schemas.microsoft.com/office/drawing/2014/main" id="{579F302B-E282-2509-3EF6-40079BABE536}"/>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11.xml><?xml version="1.0" encoding="utf-8"?>
<xdr:wsDr xmlns:xdr="http://purl.oclc.org/ooxml/drawingml/spreadsheetDrawing" xmlns:a="http://purl.oclc.org/ooxml/drawingml/main">
  <xdr:twoCellAnchor>
    <xdr:from>
      <xdr:col>1</xdr:col>
      <xdr:colOff>152400</xdr:colOff>
      <xdr:row>9</xdr:row>
      <xdr:rowOff>25400</xdr:rowOff>
    </xdr:from>
    <xdr:to>
      <xdr:col>6</xdr:col>
      <xdr:colOff>495300</xdr:colOff>
      <xdr:row>22</xdr:row>
      <xdr:rowOff>127000</xdr:rowOff>
    </xdr:to>
    <xdr:graphicFrame macro="">
      <xdr:nvGraphicFramePr>
        <xdr:cNvPr id="2" name="Chart 1">
          <a:extLst>
            <a:ext uri="{FF2B5EF4-FFF2-40B4-BE49-F238E27FC236}">
              <a16:creationId xmlns:a16="http://schemas.microsoft.com/office/drawing/2014/main" id="{5AF83367-8211-05FA-2E79-B75BCBE6F37B}"/>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Mark N" refreshedDateIso="2026-07-17T15:30:07.17000004369765800" createdVersion="8" refreshedVersion="8" recordCount="50" xr:uid="{3B1B05C9-B7BB-0642-AFC7-072471A164B6}">
  <cacheSource type="worksheet">
    <worksheetSource ref="A1:T51" sheet="construction_projects"/>
  </cacheSource>
  <cacheFields count="20">
    <cacheField name="Project_ID" numFmtId="0">
      <sharedItems/>
    </cacheField>
    <cacheField name="Project_Name" numFmtId="0">
      <sharedItems count="50">
        <s v="Toronto Retail Complex 1"/>
        <s v="Mississauga Residential High-Rise 2"/>
        <s v="Vaughan Retail Complex 3"/>
        <s v="Hamilton Industrial Warehouse 4"/>
        <s v="Toronto Residential High-Rise 5"/>
        <s v="Ottawa Commercial Office 6"/>
        <s v="Hamilton Retail Complex 7"/>
        <s v="Vaughan Retail Complex 8"/>
        <s v="Brampton Industrial Warehouse 9"/>
        <s v="Vaughan Residential High-Rise 10"/>
        <s v="Toronto Infrastructure 11"/>
        <s v="Hamilton Mixed-Use Development 12"/>
        <s v="Brampton Infrastructure 13"/>
        <s v="Vaughan Retail Complex 14"/>
        <s v="Ottawa Retail Complex 15"/>
        <s v="Ottawa Residential High-Rise 16"/>
        <s v="Hamilton Mixed-Use Development 17"/>
        <s v="Ottawa Retail Complex 18"/>
        <s v="Toronto Commercial Office 19"/>
        <s v="Vaughan Industrial Warehouse 20"/>
        <s v="Ottawa Retail Complex 21"/>
        <s v="Toronto Infrastructure 22"/>
        <s v="Vaughan Commercial Office 23"/>
        <s v="Ottawa Commercial Office 24"/>
        <s v="Hamilton Mixed-Use Development 25"/>
        <s v="Hamilton Industrial Warehouse 26"/>
        <s v="Ottawa Residential High-Rise 27"/>
        <s v="Ottawa Residential High-Rise 28"/>
        <s v="Toronto Residential High-Rise 29"/>
        <s v="Toronto Infrastructure 30"/>
        <s v="Mississauga Commercial Office 31"/>
        <s v="Vaughan Residential High-Rise 32"/>
        <s v="Mississauga Retail Complex 33"/>
        <s v="Brampton Residential High-Rise 34"/>
        <s v="Hamilton Industrial Warehouse 35"/>
        <s v="Toronto Industrial Warehouse 36"/>
        <s v="Ottawa Industrial Warehouse 37"/>
        <s v="Brampton Residential High-Rise 38"/>
        <s v="Brampton Residential High-Rise 39"/>
        <s v="Mississauga Residential High-Rise 40"/>
        <s v="Ottawa Commercial Office 41"/>
        <s v="Vaughan Commercial Office 42"/>
        <s v="Mississauga Industrial Warehouse 43"/>
        <s v="Toronto Industrial Warehouse 44"/>
        <s v="Vaughan Industrial Warehouse 45"/>
        <s v="Brampton Residential High-Rise 46"/>
        <s v="Vaughan Residential High-Rise 47"/>
        <s v="Hamilton Mixed-Use Development 48"/>
        <s v="Brampton Industrial Warehouse 49"/>
        <s v="Toronto Residential High-Rise 50"/>
      </sharedItems>
    </cacheField>
    <cacheField name="Project_Type" numFmtId="0">
      <sharedItems count="6">
        <s v="Retail Complex"/>
        <s v="Residential High-Rise"/>
        <s v="Industrial Warehouse"/>
        <s v="Commercial Office"/>
        <s v="Infrastructure"/>
        <s v="Mixed-Use Development"/>
      </sharedItems>
    </cacheField>
    <cacheField name="Region" numFmtId="0">
      <sharedItems count="6">
        <s v="Toronto"/>
        <s v="Mississauga"/>
        <s v="Vaughan"/>
        <s v="Hamilton"/>
        <s v="Ottawa"/>
        <s v="Brampton"/>
      </sharedItems>
    </cacheField>
    <cacheField name="Phase" numFmtId="0">
      <sharedItems/>
    </cacheField>
    <cacheField name="Status" numFmtId="0">
      <sharedItems count="1">
        <s v="Completed"/>
      </sharedItems>
    </cacheField>
    <cacheField name="Planned_Budget_CAD" numFmtId="0">
      <sharedItems containsSemiMixedTypes="0" containsString="0" containsNumber="1" minValue="1738032.38" maxValue="49806774.170000002"/>
    </cacheField>
    <cacheField name="Actual_Cost_CAD" numFmtId="0">
      <sharedItems containsSemiMixedTypes="0" containsString="0" containsNumber="1" minValue="1842334.71" maxValue="62579157.140000001"/>
    </cacheField>
    <cacheField name="Cost_Variance_CAD" numFmtId="0">
      <sharedItems containsSemiMixedTypes="0" containsString="0" containsNumber="1" minValue="-1768975.23" maxValue="15109870.08"/>
    </cacheField>
    <cacheField name="Cost_Variance_Pct" numFmtId="0">
      <sharedItems containsSemiMixedTypes="0" containsString="0" containsNumber="1" minValue="-4" maxValue="34.9"/>
    </cacheField>
    <cacheField name="Labor_Cost_CAD" numFmtId="0">
      <sharedItems containsSemiMixedTypes="0" containsString="0" containsNumber="1" minValue="789322.35" maxValue="26909623.75"/>
    </cacheField>
    <cacheField name="Material_Cost_CAD" numFmtId="0">
      <sharedItems containsSemiMixedTypes="0" containsString="0" containsNumber="1" minValue="584734.5" maxValue="25931585.25"/>
    </cacheField>
    <cacheField name="Subcontractor_Cost_CAD" numFmtId="0">
      <sharedItems containsSemiMixedTypes="0" containsString="0" containsNumber="1" minValue="468277.86" maxValue="16261095.24"/>
    </cacheField>
    <cacheField name="Start_Date" numFmtId="14">
      <sharedItems containsSemiMixedTypes="0" containsNonDate="0" containsDate="1" containsString="0" minDate="2022-01-04T00:00:00" maxDate="2023-11-02T00:00:00"/>
    </cacheField>
    <cacheField name="Planned_End_Date" numFmtId="14">
      <sharedItems containsSemiMixedTypes="0" containsNonDate="0" containsDate="1" containsString="0" minDate="2022-11-15T00:00:00" maxDate="2025-07-29T00:00:00"/>
    </cacheField>
    <cacheField name="Actual_End_Date" numFmtId="14">
      <sharedItems containsSemiMixedTypes="0" containsNonDate="0" containsDate="1" containsString="0" minDate="2022-11-15T00:00:00" maxDate="2025-09-26T00:00:00"/>
    </cacheField>
    <cacheField name="Delay_Days" numFmtId="0">
      <sharedItems containsSemiMixedTypes="0" containsString="0" containsNumber="1" containsInteger="1" minValue="0" maxValue="118"/>
    </cacheField>
    <cacheField name="Completion_Pct" numFmtId="0">
      <sharedItems containsSemiMixedTypes="0" containsString="0" containsNumber="1" containsInteger="1" minValue="30" maxValue="95"/>
    </cacheField>
    <cacheField name="Risk_Level" numFmtId="0">
      <sharedItems count="3">
        <s v="Medium"/>
        <s v="High"/>
        <s v="Low"/>
      </sharedItems>
    </cacheField>
    <cacheField name="Project_Manager" numFmtId="0">
      <sharedItems/>
    </cacheField>
  </cacheFields>
  <extLst>
    <ext xmlns:x14="http://schemas.microsoft.com/office/spreadsheetml/2009/9/main" uri="{725AE2AE-9491-48be-B2B4-4EB974FC3084}">
      <x14:pivotCacheDefinition pivotCacheId="331290405"/>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50">
  <r>
    <s v="PRJ-001"/>
    <x v="0"/>
    <x v="0"/>
    <x v="0"/>
    <s v="Closeout"/>
    <x v="0"/>
    <n v="1738032.38"/>
    <n v="1842334.71"/>
    <n v="104302.33"/>
    <n v="6"/>
    <n v="789322.35"/>
    <n v="584734.5"/>
    <n v="468277.86"/>
    <d v="2022-08-17T00:00:00"/>
    <d v="2023-04-06T00:00:00"/>
    <d v="2023-07-01T00:00:00"/>
    <n v="86"/>
    <n v="34"/>
    <x v="0"/>
    <s v="Sarah Chen"/>
  </r>
  <r>
    <s v="PRJ-002"/>
    <x v="1"/>
    <x v="1"/>
    <x v="1"/>
    <s v="Finishing"/>
    <x v="0"/>
    <n v="12016714.220000001"/>
    <n v="14309593.32"/>
    <n v="2292879.1"/>
    <n v="19.100000000000001"/>
    <n v="4778029.9400000004"/>
    <n v="5578477.75"/>
    <n v="3953085.63"/>
    <d v="2023-07-29T00:00:00"/>
    <d v="2024-05-17T00:00:00"/>
    <d v="2024-08-14T00:00:00"/>
    <n v="89"/>
    <n v="30"/>
    <x v="0"/>
    <s v="James Okafor"/>
  </r>
  <r>
    <s v="PRJ-003"/>
    <x v="2"/>
    <x v="0"/>
    <x v="2"/>
    <s v="Pre-Construction"/>
    <x v="0"/>
    <n v="17342400.57"/>
    <n v="17553835.649999999"/>
    <n v="211435.08"/>
    <n v="1.2"/>
    <n v="5648751.9199999999"/>
    <n v="6473699.1399999997"/>
    <n v="5431384.5899999999"/>
    <d v="2022-12-11T00:00:00"/>
    <d v="2023-06-23T00:00:00"/>
    <d v="2023-06-23T00:00:00"/>
    <n v="0"/>
    <n v="35"/>
    <x v="0"/>
    <s v="Mark Johnson"/>
  </r>
  <r>
    <s v="PRJ-004"/>
    <x v="3"/>
    <x v="2"/>
    <x v="3"/>
    <s v="Closeout"/>
    <x v="0"/>
    <n v="6678895.0599999996"/>
    <n v="8808915.9100000001"/>
    <n v="2130020.85"/>
    <n v="31.9"/>
    <n v="3291926.67"/>
    <n v="4160815.5"/>
    <n v="1356173.74"/>
    <d v="2022-03-22T00:00:00"/>
    <d v="2024-01-06T00:00:00"/>
    <d v="2024-01-06T00:00:00"/>
    <n v="0"/>
    <n v="54"/>
    <x v="1"/>
    <s v="Mark Johnson"/>
  </r>
  <r>
    <s v="PRJ-005"/>
    <x v="4"/>
    <x v="1"/>
    <x v="0"/>
    <s v="Structure"/>
    <x v="0"/>
    <n v="33232534.27"/>
    <n v="41847315.609999999"/>
    <n v="8614781.3399999999"/>
    <n v="25.9"/>
    <n v="14256629.710000001"/>
    <n v="19535251.140000001"/>
    <n v="8055434.7599999998"/>
    <d v="2022-03-23T00:00:00"/>
    <d v="2023-02-14T00:00:00"/>
    <d v="2023-04-03T00:00:00"/>
    <n v="48"/>
    <n v="77"/>
    <x v="2"/>
    <s v="Maria Santos"/>
  </r>
  <r>
    <s v="PRJ-006"/>
    <x v="5"/>
    <x v="3"/>
    <x v="4"/>
    <s v="Finishing"/>
    <x v="0"/>
    <n v="13715402.189999999"/>
    <n v="18168269.829999998"/>
    <n v="4452867.6399999997"/>
    <n v="32.5"/>
    <n v="7191461.9400000004"/>
    <n v="6044229.0700000003"/>
    <n v="4932578.82"/>
    <d v="2023-10-26T00:00:00"/>
    <d v="2024-04-06T00:00:00"/>
    <d v="2024-04-27T00:00:00"/>
    <n v="21"/>
    <n v="64"/>
    <x v="0"/>
    <s v="Mark Johnson"/>
  </r>
  <r>
    <s v="PRJ-007"/>
    <x v="6"/>
    <x v="0"/>
    <x v="3"/>
    <s v="Structure"/>
    <x v="0"/>
    <n v="11370951.109999999"/>
    <n v="12277364.800000001"/>
    <n v="906413.69"/>
    <n v="8"/>
    <n v="4054390.49"/>
    <n v="3845733.77"/>
    <n v="4377240.54"/>
    <d v="2022-02-27T00:00:00"/>
    <d v="2023-01-17T00:00:00"/>
    <d v="2023-04-30T00:00:00"/>
    <n v="103"/>
    <n v="70"/>
    <x v="1"/>
    <s v="James Okafor"/>
  </r>
  <r>
    <s v="PRJ-008"/>
    <x v="7"/>
    <x v="0"/>
    <x v="2"/>
    <s v="Foundation"/>
    <x v="0"/>
    <n v="20083779.100000001"/>
    <n v="26426618.850000001"/>
    <n v="6342839.75"/>
    <n v="31.6"/>
    <n v="10544162.689999999"/>
    <n v="10776655.140000001"/>
    <n v="5105801.0199999996"/>
    <d v="2023-04-15T00:00:00"/>
    <d v="2023-12-07T00:00:00"/>
    <d v="2023-12-07T00:00:00"/>
    <n v="0"/>
    <n v="84"/>
    <x v="1"/>
    <s v="Lisa Patel"/>
  </r>
  <r>
    <s v="PRJ-009"/>
    <x v="8"/>
    <x v="2"/>
    <x v="5"/>
    <s v="Pre-Construction"/>
    <x v="0"/>
    <n v="11356377.58"/>
    <n v="15319924.18"/>
    <n v="3963546.6"/>
    <n v="34.9"/>
    <n v="6468387.2999999998"/>
    <n v="5064280.74"/>
    <n v="3787256.14"/>
    <d v="2023-06-06T00:00:00"/>
    <d v="2025-01-21T00:00:00"/>
    <d v="2025-01-21T00:00:00"/>
    <n v="0"/>
    <n v="84"/>
    <x v="2"/>
    <s v="Lisa Patel"/>
  </r>
  <r>
    <s v="PRJ-010"/>
    <x v="9"/>
    <x v="1"/>
    <x v="2"/>
    <s v="Pre-Construction"/>
    <x v="0"/>
    <n v="19390154.68"/>
    <n v="26146626"/>
    <n v="6756471.3200000003"/>
    <n v="34.799999999999997"/>
    <n v="10094079.68"/>
    <n v="8443016.1199999992"/>
    <n v="7609530.2000000002"/>
    <d v="2023-06-26T00:00:00"/>
    <d v="2024-06-07T00:00:00"/>
    <d v="2024-09-25T00:00:00"/>
    <n v="110"/>
    <n v="64"/>
    <x v="1"/>
    <s v="Mark Johnson"/>
  </r>
  <r>
    <s v="PRJ-011"/>
    <x v="10"/>
    <x v="4"/>
    <x v="0"/>
    <s v="Finishing"/>
    <x v="0"/>
    <n v="15028256.369999999"/>
    <n v="15227577.66"/>
    <n v="199321.29"/>
    <n v="1.3"/>
    <n v="6127462.1299999999"/>
    <n v="6114425.7199999997"/>
    <n v="2985689.81"/>
    <d v="2022-01-04T00:00:00"/>
    <d v="2024-04-12T00:00:00"/>
    <d v="2024-05-15T00:00:00"/>
    <n v="33"/>
    <n v="68"/>
    <x v="2"/>
    <s v="Mark Johnson"/>
  </r>
  <r>
    <s v="PRJ-012"/>
    <x v="11"/>
    <x v="5"/>
    <x v="3"/>
    <s v="Finishing"/>
    <x v="0"/>
    <n v="10346099.539999999"/>
    <n v="11376214.539999999"/>
    <n v="1030115"/>
    <n v="10"/>
    <n v="4933849.4400000004"/>
    <n v="4775608.78"/>
    <n v="1666756.32"/>
    <d v="2022-06-15T00:00:00"/>
    <d v="2024-03-18T00:00:00"/>
    <d v="2024-07-14T00:00:00"/>
    <n v="118"/>
    <n v="32"/>
    <x v="0"/>
    <s v="Sarah Chen"/>
  </r>
  <r>
    <s v="PRJ-013"/>
    <x v="12"/>
    <x v="4"/>
    <x v="5"/>
    <s v="Mechanical/Electrical"/>
    <x v="0"/>
    <n v="12352889.359999999"/>
    <n v="12925428.939999999"/>
    <n v="572539.57999999996"/>
    <n v="4.5999999999999996"/>
    <n v="5340847.3499999996"/>
    <n v="6405802.5"/>
    <n v="1178779.0900000001"/>
    <d v="2023-08-04T00:00:00"/>
    <d v="2024-01-21T00:00:00"/>
    <d v="2024-01-21T00:00:00"/>
    <n v="0"/>
    <n v="46"/>
    <x v="1"/>
    <s v="James Okafor"/>
  </r>
  <r>
    <s v="PRJ-014"/>
    <x v="13"/>
    <x v="0"/>
    <x v="2"/>
    <s v="Finishing"/>
    <x v="0"/>
    <n v="47369009.649999999"/>
    <n v="48129319.369999997"/>
    <n v="760309.72"/>
    <n v="1.6"/>
    <n v="19302409.809999999"/>
    <n v="21079367.73"/>
    <n v="7747541.8300000001"/>
    <d v="2023-06-25T00:00:00"/>
    <d v="2025-06-05T00:00:00"/>
    <d v="2025-07-02T00:00:00"/>
    <n v="27"/>
    <n v="69"/>
    <x v="1"/>
    <s v="David Kim"/>
  </r>
  <r>
    <s v="PRJ-015"/>
    <x v="14"/>
    <x v="0"/>
    <x v="4"/>
    <s v="Pre-Construction"/>
    <x v="0"/>
    <n v="18984314.879999999"/>
    <n v="24866521.960000001"/>
    <n v="5882207.0800000001"/>
    <n v="31"/>
    <n v="7898032.9000000004"/>
    <n v="10385794.92"/>
    <n v="6582694.1399999997"/>
    <d v="2023-04-08T00:00:00"/>
    <d v="2023-11-07T00:00:00"/>
    <d v="2023-11-07T00:00:00"/>
    <n v="0"/>
    <n v="58"/>
    <x v="2"/>
    <s v="Sarah Chen"/>
  </r>
  <r>
    <s v="PRJ-016"/>
    <x v="15"/>
    <x v="1"/>
    <x v="4"/>
    <s v="Foundation"/>
    <x v="0"/>
    <n v="31739596.379999999"/>
    <n v="33059224.489999998"/>
    <n v="1319628.1100000001"/>
    <n v="4.2"/>
    <n v="10106054.6"/>
    <n v="13127252.73"/>
    <n v="9825917.1600000001"/>
    <d v="2022-02-02T00:00:00"/>
    <d v="2023-04-06T00:00:00"/>
    <d v="2023-04-06T00:00:00"/>
    <n v="0"/>
    <n v="46"/>
    <x v="1"/>
    <s v="Mark Johnson"/>
  </r>
  <r>
    <s v="PRJ-017"/>
    <x v="16"/>
    <x v="5"/>
    <x v="3"/>
    <s v="Closeout"/>
    <x v="0"/>
    <n v="23897215.800000001"/>
    <n v="30202442.890000001"/>
    <n v="6305227.0899999999"/>
    <n v="26.4"/>
    <n v="10154370.470000001"/>
    <n v="11619354.699999999"/>
    <n v="8428717.7200000007"/>
    <d v="2023-02-21T00:00:00"/>
    <d v="2023-12-02T00:00:00"/>
    <d v="2023-12-02T00:00:00"/>
    <n v="0"/>
    <n v="36"/>
    <x v="0"/>
    <s v="Mark Johnson"/>
  </r>
  <r>
    <s v="PRJ-018"/>
    <x v="17"/>
    <x v="0"/>
    <x v="4"/>
    <s v="Foundation"/>
    <x v="0"/>
    <n v="5371684.6200000001"/>
    <n v="5968202.21"/>
    <n v="596517.59"/>
    <n v="11.1"/>
    <n v="2132182.92"/>
    <n v="1957787.92"/>
    <n v="1878231.37"/>
    <d v="2022-12-14T00:00:00"/>
    <d v="2023-07-03T00:00:00"/>
    <d v="2023-07-03T00:00:00"/>
    <n v="0"/>
    <n v="65"/>
    <x v="2"/>
    <s v="David Kim"/>
  </r>
  <r>
    <s v="PRJ-019"/>
    <x v="18"/>
    <x v="3"/>
    <x v="0"/>
    <s v="Finishing"/>
    <x v="0"/>
    <n v="22434971.879999999"/>
    <n v="29042960.460000001"/>
    <n v="6607988.5800000001"/>
    <n v="29.5"/>
    <n v="12116883.33"/>
    <n v="14341392.140000001"/>
    <n v="2584684.9900000002"/>
    <d v="2023-07-18T00:00:00"/>
    <d v="2024-01-24T00:00:00"/>
    <d v="2024-01-24T00:00:00"/>
    <n v="0"/>
    <n v="51"/>
    <x v="2"/>
    <s v="David Kim"/>
  </r>
  <r>
    <s v="PRJ-020"/>
    <x v="19"/>
    <x v="2"/>
    <x v="2"/>
    <s v="Mechanical/Electrical"/>
    <x v="0"/>
    <n v="11080491.310000001"/>
    <n v="12303956.140000001"/>
    <n v="1223464.83"/>
    <n v="11"/>
    <n v="3728598.39"/>
    <n v="5620620.9000000004"/>
    <n v="2954736.85"/>
    <d v="2022-03-02T00:00:00"/>
    <d v="2022-11-15T00:00:00"/>
    <d v="2022-11-15T00:00:00"/>
    <n v="0"/>
    <n v="66"/>
    <x v="0"/>
    <s v="David Kim"/>
  </r>
  <r>
    <s v="PRJ-021"/>
    <x v="20"/>
    <x v="0"/>
    <x v="4"/>
    <s v="Foundation"/>
    <x v="0"/>
    <n v="49773423.130000003"/>
    <n v="58349748.740000002"/>
    <n v="8576325.6099999994"/>
    <n v="17.2"/>
    <n v="25892226.789999999"/>
    <n v="24263929.510000002"/>
    <n v="8193592.4400000004"/>
    <d v="2023-05-14T00:00:00"/>
    <d v="2024-01-17T00:00:00"/>
    <d v="2024-01-17T00:00:00"/>
    <n v="0"/>
    <n v="37"/>
    <x v="1"/>
    <s v="Mark Johnson"/>
  </r>
  <r>
    <s v="PRJ-022"/>
    <x v="21"/>
    <x v="4"/>
    <x v="0"/>
    <s v="Finishing"/>
    <x v="0"/>
    <n v="2982045.69"/>
    <n v="3401665.46"/>
    <n v="419619.77"/>
    <n v="14.1"/>
    <n v="904918.85"/>
    <n v="1146922.51"/>
    <n v="1349824.1"/>
    <d v="2023-06-28T00:00:00"/>
    <d v="2024-03-05T00:00:00"/>
    <d v="2024-03-05T00:00:00"/>
    <n v="0"/>
    <n v="38"/>
    <x v="1"/>
    <s v="Mark Johnson"/>
  </r>
  <r>
    <s v="PRJ-023"/>
    <x v="22"/>
    <x v="3"/>
    <x v="2"/>
    <s v="Pre-Construction"/>
    <x v="0"/>
    <n v="6434387.3899999997"/>
    <n v="8404049.4100000001"/>
    <n v="1969662.02"/>
    <n v="30.6"/>
    <n v="2805649.73"/>
    <n v="3502256.97"/>
    <n v="2096142.71"/>
    <d v="2022-09-10T00:00:00"/>
    <d v="2024-07-23T00:00:00"/>
    <d v="2024-10-10T00:00:00"/>
    <n v="79"/>
    <n v="70"/>
    <x v="1"/>
    <s v="Maria Santos"/>
  </r>
  <r>
    <s v="PRJ-024"/>
    <x v="23"/>
    <x v="3"/>
    <x v="4"/>
    <s v="Mechanical/Electrical"/>
    <x v="0"/>
    <n v="35951494.140000001"/>
    <n v="37586366.079999998"/>
    <n v="1634871.94"/>
    <n v="4.5"/>
    <n v="11773381.890000001"/>
    <n v="16927880.629999999"/>
    <n v="8885103.5600000005"/>
    <d v="2023-02-10T00:00:00"/>
    <d v="2023-09-22T00:00:00"/>
    <d v="2023-10-30T00:00:00"/>
    <n v="38"/>
    <n v="31"/>
    <x v="2"/>
    <s v="David Kim"/>
  </r>
  <r>
    <s v="PRJ-025"/>
    <x v="24"/>
    <x v="5"/>
    <x v="3"/>
    <s v="Structure"/>
    <x v="0"/>
    <n v="49806774.170000002"/>
    <n v="48775987.539999999"/>
    <n v="-1030786.63"/>
    <n v="-2.1"/>
    <n v="20787000.879999999"/>
    <n v="23210251.140000001"/>
    <n v="4778735.5199999996"/>
    <d v="2022-08-07T00:00:00"/>
    <d v="2024-04-06T00:00:00"/>
    <d v="2024-04-06T00:00:00"/>
    <n v="0"/>
    <n v="66"/>
    <x v="0"/>
    <s v="James Okafor"/>
  </r>
  <r>
    <s v="PRJ-026"/>
    <x v="25"/>
    <x v="2"/>
    <x v="3"/>
    <s v="Finishing"/>
    <x v="0"/>
    <n v="35325226.289999999"/>
    <n v="42202027.170000002"/>
    <n v="6876800.8799999999"/>
    <n v="19.5"/>
    <n v="13077384.84"/>
    <n v="18259877.870000001"/>
    <n v="10864764.460000001"/>
    <d v="2023-11-01T00:00:00"/>
    <d v="2025-07-24T00:00:00"/>
    <d v="2025-07-24T00:00:00"/>
    <n v="0"/>
    <n v="63"/>
    <x v="2"/>
    <s v="Sarah Chen"/>
  </r>
  <r>
    <s v="PRJ-027"/>
    <x v="26"/>
    <x v="1"/>
    <x v="4"/>
    <s v="Closeout"/>
    <x v="0"/>
    <n v="27884570.219999999"/>
    <n v="29528066.850000001"/>
    <n v="1643496.63"/>
    <n v="5.9"/>
    <n v="11127580.880000001"/>
    <n v="10417406.91"/>
    <n v="7983079.0599999996"/>
    <d v="2023-09-12T00:00:00"/>
    <d v="2024-07-13T00:00:00"/>
    <d v="2024-08-08T00:00:00"/>
    <n v="26"/>
    <n v="62"/>
    <x v="0"/>
    <s v="Sarah Chen"/>
  </r>
  <r>
    <s v="PRJ-028"/>
    <x v="27"/>
    <x v="1"/>
    <x v="4"/>
    <s v="Structure"/>
    <x v="0"/>
    <n v="21467000.739999998"/>
    <n v="22769448.530000001"/>
    <n v="1302447.79"/>
    <n v="6.1"/>
    <n v="6428188.6299999999"/>
    <n v="8842904.75"/>
    <n v="7498355.1500000004"/>
    <d v="2022-01-04T00:00:00"/>
    <d v="2023-03-11T00:00:00"/>
    <d v="2023-05-31T00:00:00"/>
    <n v="81"/>
    <n v="84"/>
    <x v="1"/>
    <s v="Lisa Patel"/>
  </r>
  <r>
    <s v="PRJ-029"/>
    <x v="28"/>
    <x v="1"/>
    <x v="0"/>
    <s v="Structure"/>
    <x v="0"/>
    <n v="4224571.07"/>
    <n v="5505640.7999999998"/>
    <n v="1281069.73"/>
    <n v="30.3"/>
    <n v="2017827.89"/>
    <n v="1814762.48"/>
    <n v="1673050.43"/>
    <d v="2022-06-02T00:00:00"/>
    <d v="2024-03-11T00:00:00"/>
    <d v="2024-03-11T00:00:00"/>
    <n v="0"/>
    <n v="35"/>
    <x v="2"/>
    <s v="Maria Santos"/>
  </r>
  <r>
    <s v="PRJ-030"/>
    <x v="29"/>
    <x v="4"/>
    <x v="0"/>
    <s v="Finishing"/>
    <x v="0"/>
    <n v="44996769.509999998"/>
    <n v="46528037.259999998"/>
    <n v="1531267.75"/>
    <n v="3.4"/>
    <n v="19859419.780000001"/>
    <n v="17739999.649999999"/>
    <n v="8928617.8300000001"/>
    <d v="2022-09-13T00:00:00"/>
    <d v="2024-10-24T00:00:00"/>
    <d v="2024-10-24T00:00:00"/>
    <n v="0"/>
    <n v="49"/>
    <x v="1"/>
    <s v="James Okafor"/>
  </r>
  <r>
    <s v="PRJ-031"/>
    <x v="30"/>
    <x v="3"/>
    <x v="1"/>
    <s v="Closeout"/>
    <x v="0"/>
    <n v="44130102.130000003"/>
    <n v="42361126.899999999"/>
    <n v="-1768975.23"/>
    <n v="-4"/>
    <n v="17910826.920000002"/>
    <n v="19577189.010000002"/>
    <n v="4873110.97"/>
    <d v="2022-12-07T00:00:00"/>
    <d v="2025-05-16T00:00:00"/>
    <d v="2025-08-26T00:00:00"/>
    <n v="102"/>
    <n v="50"/>
    <x v="0"/>
    <s v="Mark Johnson"/>
  </r>
  <r>
    <s v="PRJ-032"/>
    <x v="31"/>
    <x v="1"/>
    <x v="2"/>
    <s v="Structure"/>
    <x v="0"/>
    <n v="43672255.75"/>
    <n v="56487324.590000004"/>
    <n v="12815068.84"/>
    <n v="29.3"/>
    <n v="17569714.260000002"/>
    <n v="25931585.25"/>
    <n v="12986025.08"/>
    <d v="2022-08-16T00:00:00"/>
    <d v="2023-06-06T00:00:00"/>
    <d v="2023-08-03T00:00:00"/>
    <n v="58"/>
    <n v="58"/>
    <x v="2"/>
    <s v="Sarah Chen"/>
  </r>
  <r>
    <s v="PRJ-033"/>
    <x v="32"/>
    <x v="0"/>
    <x v="1"/>
    <s v="Closeout"/>
    <x v="0"/>
    <n v="20224065.940000001"/>
    <n v="21466657.309999999"/>
    <n v="1242591.3700000001"/>
    <n v="6.1"/>
    <n v="7553711.7400000002"/>
    <n v="9357393.7100000009"/>
    <n v="4555551.8600000003"/>
    <d v="2022-03-13T00:00:00"/>
    <d v="2024-08-10T00:00:00"/>
    <d v="2024-08-10T00:00:00"/>
    <n v="0"/>
    <n v="72"/>
    <x v="1"/>
    <s v="Sarah Chen"/>
  </r>
  <r>
    <s v="PRJ-034"/>
    <x v="33"/>
    <x v="1"/>
    <x v="5"/>
    <s v="Mechanical/Electrical"/>
    <x v="0"/>
    <n v="9339106.9000000004"/>
    <n v="12467835.9"/>
    <n v="3128729"/>
    <n v="33.5"/>
    <n v="3978953.01"/>
    <n v="5701362.2599999998"/>
    <n v="2787520.63"/>
    <d v="2022-09-29T00:00:00"/>
    <d v="2023-02-05T00:00:00"/>
    <d v="2023-02-05T00:00:00"/>
    <n v="0"/>
    <n v="95"/>
    <x v="0"/>
    <s v="Sarah Chen"/>
  </r>
  <r>
    <s v="PRJ-035"/>
    <x v="34"/>
    <x v="2"/>
    <x v="3"/>
    <s v="Finishing"/>
    <x v="0"/>
    <n v="9908899.3399999999"/>
    <n v="9589383.0500000007"/>
    <n v="-319516.28999999998"/>
    <n v="-3.2"/>
    <n v="3714653.02"/>
    <n v="4680123.5599999996"/>
    <n v="1194606.47"/>
    <d v="2023-03-23T00:00:00"/>
    <d v="2023-06-22T00:00:00"/>
    <d v="2023-10-03T00:00:00"/>
    <n v="103"/>
    <n v="55"/>
    <x v="1"/>
    <s v="Maria Santos"/>
  </r>
  <r>
    <s v="PRJ-036"/>
    <x v="35"/>
    <x v="2"/>
    <x v="0"/>
    <s v="Closeout"/>
    <x v="0"/>
    <n v="47469287.060000002"/>
    <n v="62579157.140000001"/>
    <n v="15109870.08"/>
    <n v="31.8"/>
    <n v="26909623.75"/>
    <n v="25120806.920000002"/>
    <n v="10548726.470000001"/>
    <d v="2023-10-01T00:00:00"/>
    <d v="2024-11-15T00:00:00"/>
    <d v="2024-11-30T00:00:00"/>
    <n v="15"/>
    <n v="82"/>
    <x v="1"/>
    <s v="Maria Santos"/>
  </r>
  <r>
    <s v="PRJ-037"/>
    <x v="36"/>
    <x v="2"/>
    <x v="4"/>
    <s v="Closeout"/>
    <x v="0"/>
    <n v="15134932.529999999"/>
    <n v="15148782.800000001"/>
    <n v="13850.27"/>
    <n v="0.1"/>
    <n v="6522476.7199999997"/>
    <n v="6409495.1900000004"/>
    <n v="2216810.89"/>
    <d v="2023-03-07T00:00:00"/>
    <d v="2025-04-15T00:00:00"/>
    <d v="2025-07-10T00:00:00"/>
    <n v="86"/>
    <n v="81"/>
    <x v="0"/>
    <s v="Lisa Patel"/>
  </r>
  <r>
    <s v="PRJ-038"/>
    <x v="37"/>
    <x v="1"/>
    <x v="5"/>
    <s v="Mechanical/Electrical"/>
    <x v="0"/>
    <n v="14702228.99"/>
    <n v="16495243.15"/>
    <n v="1793014.16"/>
    <n v="12.2"/>
    <n v="5582517.4699999997"/>
    <n v="5653584.2599999998"/>
    <n v="5259141.42"/>
    <d v="2023-08-17T00:00:00"/>
    <d v="2025-07-28T00:00:00"/>
    <d v="2025-09-25T00:00:00"/>
    <n v="59"/>
    <n v="51"/>
    <x v="0"/>
    <s v="Mark Johnson"/>
  </r>
  <r>
    <s v="PRJ-039"/>
    <x v="38"/>
    <x v="1"/>
    <x v="5"/>
    <s v="Foundation"/>
    <x v="0"/>
    <n v="26014874.489999998"/>
    <n v="31300481.530000001"/>
    <n v="5285607.04"/>
    <n v="20.3"/>
    <n v="12036886.07"/>
    <n v="10796416.66"/>
    <n v="8467178.8000000007"/>
    <d v="2022-12-10T00:00:00"/>
    <d v="2023-06-13T00:00:00"/>
    <d v="2023-09-17T00:00:00"/>
    <n v="96"/>
    <n v="48"/>
    <x v="2"/>
    <s v="Sarah Chen"/>
  </r>
  <r>
    <s v="PRJ-040"/>
    <x v="39"/>
    <x v="1"/>
    <x v="1"/>
    <s v="Finishing"/>
    <x v="0"/>
    <n v="49204833.130000003"/>
    <n v="58775645.009999998"/>
    <n v="9570811.8800000008"/>
    <n v="19.5"/>
    <n v="16979522.539999999"/>
    <n v="25818427.550000001"/>
    <n v="15977694.92"/>
    <d v="2022-03-16T00:00:00"/>
    <d v="2023-09-23T00:00:00"/>
    <d v="2023-12-12T00:00:00"/>
    <n v="80"/>
    <n v="81"/>
    <x v="0"/>
    <s v="James Okafor"/>
  </r>
  <r>
    <s v="PRJ-041"/>
    <x v="40"/>
    <x v="3"/>
    <x v="4"/>
    <s v="Closeout"/>
    <x v="0"/>
    <n v="34537309.450000003"/>
    <n v="45142471.439999998"/>
    <n v="10605161.99"/>
    <n v="30.7"/>
    <n v="15961996.449999999"/>
    <n v="13996137.84"/>
    <n v="15184337.15"/>
    <d v="2022-04-20T00:00:00"/>
    <d v="2024-09-23T00:00:00"/>
    <d v="2024-10-15T00:00:00"/>
    <n v="22"/>
    <n v="45"/>
    <x v="2"/>
    <s v="David Kim"/>
  </r>
  <r>
    <s v="PRJ-042"/>
    <x v="41"/>
    <x v="3"/>
    <x v="2"/>
    <s v="Mechanical/Electrical"/>
    <x v="0"/>
    <n v="33545097.760000002"/>
    <n v="45123422.439999998"/>
    <n v="11578324.68"/>
    <n v="34.5"/>
    <n v="16809849.52"/>
    <n v="20028247.289999999"/>
    <n v="8285325.6299999999"/>
    <d v="2023-09-02T00:00:00"/>
    <d v="2024-10-20T00:00:00"/>
    <d v="2025-02-11T00:00:00"/>
    <n v="114"/>
    <n v="84"/>
    <x v="1"/>
    <s v="Lisa Patel"/>
  </r>
  <r>
    <s v="PRJ-043"/>
    <x v="42"/>
    <x v="2"/>
    <x v="1"/>
    <s v="Closeout"/>
    <x v="0"/>
    <n v="37310944.390000001"/>
    <n v="42529617.780000001"/>
    <n v="5218673.3899999997"/>
    <n v="14"/>
    <n v="12991193.619999999"/>
    <n v="19373728.030000001"/>
    <n v="10164696.130000001"/>
    <d v="2022-09-23T00:00:00"/>
    <d v="2025-01-29T00:00:00"/>
    <d v="2025-01-29T00:00:00"/>
    <n v="0"/>
    <n v="60"/>
    <x v="0"/>
    <s v="Maria Santos"/>
  </r>
  <r>
    <s v="PRJ-044"/>
    <x v="43"/>
    <x v="2"/>
    <x v="0"/>
    <s v="Foundation"/>
    <x v="0"/>
    <n v="35820470.700000003"/>
    <n v="37389315.299999997"/>
    <n v="1568844.6"/>
    <n v="4.4000000000000004"/>
    <n v="10475219.83"/>
    <n v="14081080.050000001"/>
    <n v="12833015.42"/>
    <d v="2022-12-10T00:00:00"/>
    <d v="2024-01-31T00:00:00"/>
    <d v="2024-02-10T00:00:00"/>
    <n v="10"/>
    <n v="57"/>
    <x v="2"/>
    <s v="Sarah Chen"/>
  </r>
  <r>
    <s v="PRJ-045"/>
    <x v="44"/>
    <x v="2"/>
    <x v="2"/>
    <s v="Finishing"/>
    <x v="0"/>
    <n v="16878628.859999999"/>
    <n v="19180362.77"/>
    <n v="2301733.91"/>
    <n v="13.6"/>
    <n v="8424253.2899999991"/>
    <n v="5829034.8300000001"/>
    <n v="4927074.6500000004"/>
    <d v="2022-03-05T00:00:00"/>
    <d v="2022-12-31T00:00:00"/>
    <d v="2023-02-18T00:00:00"/>
    <n v="49"/>
    <n v="78"/>
    <x v="1"/>
    <s v="David Kim"/>
  </r>
  <r>
    <s v="PRJ-046"/>
    <x v="45"/>
    <x v="1"/>
    <x v="5"/>
    <s v="Finishing"/>
    <x v="0"/>
    <n v="15281326.289999999"/>
    <n v="16901065.260000002"/>
    <n v="1619738.97"/>
    <n v="10.6"/>
    <n v="7260059.9500000002"/>
    <n v="6720639.2300000004"/>
    <n v="2920366.0800000001"/>
    <d v="2023-03-06T00:00:00"/>
    <d v="2024-12-06T00:00:00"/>
    <d v="2025-02-13T00:00:00"/>
    <n v="69"/>
    <n v="85"/>
    <x v="0"/>
    <s v="David Kim"/>
  </r>
  <r>
    <s v="PRJ-047"/>
    <x v="46"/>
    <x v="1"/>
    <x v="2"/>
    <s v="Mechanical/Electrical"/>
    <x v="0"/>
    <n v="17138412.41"/>
    <n v="20937257.27"/>
    <n v="3798844.86"/>
    <n v="22.2"/>
    <n v="9084850.2100000009"/>
    <n v="10387902.85"/>
    <n v="1464504.21"/>
    <d v="2023-02-19T00:00:00"/>
    <d v="2025-05-30T00:00:00"/>
    <d v="2025-05-30T00:00:00"/>
    <n v="0"/>
    <n v="33"/>
    <x v="1"/>
    <s v="David Kim"/>
  </r>
  <r>
    <s v="PRJ-048"/>
    <x v="47"/>
    <x v="5"/>
    <x v="3"/>
    <s v="Pre-Construction"/>
    <x v="0"/>
    <n v="33318487.960000001"/>
    <n v="32771364.559999999"/>
    <n v="-547123.4"/>
    <n v="-1.6"/>
    <n v="9897976.6199999992"/>
    <n v="11976968.09"/>
    <n v="10896419.85"/>
    <d v="2023-03-15T00:00:00"/>
    <d v="2023-10-29T00:00:00"/>
    <d v="2023-11-21T00:00:00"/>
    <n v="23"/>
    <n v="71"/>
    <x v="0"/>
    <s v="Maria Santos"/>
  </r>
  <r>
    <s v="PRJ-049"/>
    <x v="48"/>
    <x v="2"/>
    <x v="5"/>
    <s v="Finishing"/>
    <x v="0"/>
    <n v="37724486.270000003"/>
    <n v="48391828.469999999"/>
    <n v="10667342.199999999"/>
    <n v="28.3"/>
    <n v="12602060.68"/>
    <n v="23730575.440000001"/>
    <n v="12059192.35"/>
    <d v="2022-09-16T00:00:00"/>
    <d v="2023-03-08T00:00:00"/>
    <d v="2023-06-11T00:00:00"/>
    <n v="95"/>
    <n v="38"/>
    <x v="2"/>
    <s v="Mark Johnson"/>
  </r>
  <r>
    <s v="PRJ-050"/>
    <x v="49"/>
    <x v="1"/>
    <x v="0"/>
    <s v="Foundation"/>
    <x v="0"/>
    <n v="47505780.770000003"/>
    <n v="48918805.68"/>
    <n v="1413024.91"/>
    <n v="3"/>
    <n v="16862909.719999999"/>
    <n v="15794800.720000001"/>
    <n v="16261095.24"/>
    <d v="2022-01-21T00:00:00"/>
    <d v="2024-01-17T00:00:00"/>
    <d v="2024-01-17T00:00:00"/>
    <n v="0"/>
    <n v="89"/>
    <x v="2"/>
    <s v="Mark Johnson"/>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5444C524-25A1-0244-9633-0CD04D543218}" name="PivotTable1" cacheId="23" applyNumberFormats="0" applyBorderFormats="0" applyFontFormats="0" applyPatternFormats="0" applyAlignmentFormats="0" applyWidthHeightFormats="1" dataCaption="Budget vs Actual cost by Project Type" updatedVersion="8" minRefreshableVersion="3" showMemberPropertyTips="0" useAutoFormatting="1" itemPrintTitles="1" createdVersion="8" indent="0" compact="0" compactData="0" gridDropZones="1" chartFormat="3">
  <location ref="A3:C11" firstHeaderRow="1" firstDataRow="2" firstDataCol="1"/>
  <pivotFields count="20">
    <pivotField compact="0" outline="0" showAll="0" includeNewItemsInFilter="1"/>
    <pivotField compact="0" outline="0" showAll="0" includeNewItemsInFilter="1"/>
    <pivotField axis="axisRow" compact="0" outline="0" showAll="0" includeNewItemsInFilter="1">
      <items count="7">
        <item x="3"/>
        <item x="2"/>
        <item x="4"/>
        <item x="5"/>
        <item x="1"/>
        <item x="0"/>
        <item t="default"/>
      </items>
    </pivotField>
    <pivotField compact="0" outline="0" showAll="0" includeNewItemsInFilter="1">
      <items count="7">
        <item x="5"/>
        <item x="3"/>
        <item x="1"/>
        <item x="4"/>
        <item x="0"/>
        <item x="2"/>
        <item t="default"/>
      </items>
    </pivotField>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items count="4">
        <item x="1"/>
        <item x="2"/>
        <item x="0"/>
        <item t="default"/>
      </items>
    </pivotField>
    <pivotField compact="0" outline="0" showAll="0" includeNewItemsInFilter="1"/>
  </pivotFields>
  <rowFields count="1">
    <field x="2"/>
  </rowFields>
  <rowItems count="7">
    <i>
      <x/>
    </i>
    <i>
      <x v="1"/>
    </i>
    <i>
      <x v="2"/>
    </i>
    <i>
      <x v="3"/>
    </i>
    <i>
      <x v="4"/>
    </i>
    <i>
      <x v="5"/>
    </i>
    <i t="grand">
      <x/>
    </i>
  </rowItems>
  <colFields count="1">
    <field x="-2"/>
  </colFields>
  <colItems count="2">
    <i>
      <x/>
    </i>
    <i i="1">
      <x v="1"/>
    </i>
  </colItems>
  <dataFields count="2">
    <dataField name="Sum of Planned_Budget_CAD" fld="6" baseField="0" baseItem="0"/>
    <dataField name="Sum of Actual_Cost_CAD" fld="7" baseField="0" baseItem="0"/>
  </dataFields>
  <formats count="1">
    <format dxfId="26">
      <pivotArea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64795B83-5014-0C4D-A071-8532869BF64A}" name="PivotTable2" cacheId="23"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A3:B11" firstHeaderRow="2" firstDataRow="2" firstDataCol="1"/>
  <pivotFields count="20">
    <pivotField compact="0" outline="0" showAll="0" includeNewItemsInFilter="1"/>
    <pivotField compact="0" outline="0" showAll="0" includeNewItemsInFilter="1">
      <items count="51">
        <item x="48"/>
        <item x="8"/>
        <item x="12"/>
        <item x="33"/>
        <item x="37"/>
        <item x="38"/>
        <item x="45"/>
        <item x="25"/>
        <item x="34"/>
        <item x="3"/>
        <item x="11"/>
        <item x="16"/>
        <item x="24"/>
        <item x="47"/>
        <item x="6"/>
        <item x="30"/>
        <item x="42"/>
        <item x="1"/>
        <item x="39"/>
        <item x="32"/>
        <item x="23"/>
        <item x="40"/>
        <item x="5"/>
        <item x="36"/>
        <item x="15"/>
        <item x="26"/>
        <item x="27"/>
        <item x="14"/>
        <item x="17"/>
        <item x="20"/>
        <item x="18"/>
        <item x="35"/>
        <item x="43"/>
        <item x="10"/>
        <item x="21"/>
        <item x="29"/>
        <item x="28"/>
        <item x="4"/>
        <item x="49"/>
        <item x="0"/>
        <item x="22"/>
        <item x="41"/>
        <item x="19"/>
        <item x="44"/>
        <item x="9"/>
        <item x="31"/>
        <item x="46"/>
        <item x="13"/>
        <item x="2"/>
        <item x="7"/>
        <item t="default"/>
      </items>
    </pivotField>
    <pivotField compact="0" outline="0" showAll="0" includeNewItemsInFilter="1"/>
    <pivotField axis="axisRow" compact="0" outline="0" showAll="0" includeNewItemsInFilter="1">
      <items count="7">
        <item x="5"/>
        <item x="3"/>
        <item x="1"/>
        <item x="4"/>
        <item x="0"/>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items count="4">
        <item x="1"/>
        <item x="2"/>
        <item x="0"/>
        <item t="default"/>
      </items>
    </pivotField>
    <pivotField compact="0" outline="0" showAll="0" includeNewItemsInFilter="1"/>
  </pivotFields>
  <rowFields count="1">
    <field x="3"/>
  </rowFields>
  <rowItems count="7">
    <i>
      <x/>
    </i>
    <i>
      <x v="1"/>
    </i>
    <i>
      <x v="2"/>
    </i>
    <i>
      <x v="3"/>
    </i>
    <i>
      <x v="4"/>
    </i>
    <i>
      <x v="5"/>
    </i>
    <i t="grand">
      <x/>
    </i>
  </rowItems>
  <colItems count="1">
    <i/>
  </colItems>
  <dataFields count="1">
    <dataField name="Average of Cost_Variance_Pct" fld="9"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8AFB1E41-55BD-3E4E-A377-3B643EADF17F}" name="PivotTable3" cacheId="23"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A3:B6" firstHeaderRow="2" firstDataRow="2" firstDataCol="1"/>
  <pivotFields count="20">
    <pivotField dataField="1" compact="0" outline="0" showAll="0" includeNewItemsInFilter="1"/>
    <pivotField compact="0" outline="0" showAll="0" includeNewItemsInFilter="1"/>
    <pivotField compact="0" outline="0" showAll="0" includeNewItemsInFilter="1"/>
    <pivotField compact="0" outline="0" showAll="0" includeNewItemsInFilter="1">
      <items count="7">
        <item x="5"/>
        <item x="3"/>
        <item x="1"/>
        <item x="4"/>
        <item x="0"/>
        <item x="2"/>
        <item t="default"/>
      </items>
    </pivotField>
    <pivotField compact="0" outline="0" showAll="0" includeNewItemsInFilter="1"/>
    <pivotField axis="axisRow" compact="0" outline="0" showAll="0" includeNewItemsInFilter="1">
      <items count="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items count="4">
        <item x="1"/>
        <item x="2"/>
        <item x="0"/>
        <item t="default"/>
      </items>
    </pivotField>
    <pivotField compact="0" outline="0" showAll="0" includeNewItemsInFilter="1"/>
  </pivotFields>
  <rowFields count="1">
    <field x="5"/>
  </rowFields>
  <rowItems count="2">
    <i>
      <x/>
    </i>
    <i t="grand">
      <x/>
    </i>
  </rowItems>
  <colItems count="1">
    <i/>
  </colItems>
  <dataFields count="1">
    <dataField name="Count of Projec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2CB05A38-3EBD-0442-AEEA-0E397FDD52C3}" name="PivotTable4" cacheId="23"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A3:D11" firstHeaderRow="1" firstDataRow="2" firstDataCol="1"/>
  <pivotFields count="20">
    <pivotField compact="0" outline="0" showAll="0" includeNewItemsInFilter="1"/>
    <pivotField compact="0" outline="0" showAll="0" includeNewItemsInFilter="1"/>
    <pivotField axis="axisRow" compact="0" outline="0" showAll="0" includeNewItemsInFilter="1">
      <items count="7">
        <item x="3"/>
        <item x="2"/>
        <item x="4"/>
        <item x="5"/>
        <item x="1"/>
        <item x="0"/>
        <item t="default"/>
      </items>
    </pivotField>
    <pivotField compact="0" outline="0" showAll="0" includeNewItemsInFilter="1">
      <items count="7">
        <item x="5"/>
        <item x="3"/>
        <item x="1"/>
        <item x="4"/>
        <item x="0"/>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compact="0" numFmtId="14"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items count="4">
        <item x="1"/>
        <item x="2"/>
        <item x="0"/>
        <item t="default"/>
      </items>
    </pivotField>
    <pivotField compact="0" outline="0" showAll="0" includeNewItemsInFilter="1"/>
  </pivotFields>
  <rowFields count="1">
    <field x="2"/>
  </rowFields>
  <rowItems count="7">
    <i>
      <x/>
    </i>
    <i>
      <x v="1"/>
    </i>
    <i>
      <x v="2"/>
    </i>
    <i>
      <x v="3"/>
    </i>
    <i>
      <x v="4"/>
    </i>
    <i>
      <x v="5"/>
    </i>
    <i t="grand">
      <x/>
    </i>
  </rowItems>
  <colFields count="1">
    <field x="-2"/>
  </colFields>
  <colItems count="3">
    <i>
      <x/>
    </i>
    <i i="1">
      <x v="1"/>
    </i>
    <i i="2">
      <x v="2"/>
    </i>
  </colItems>
  <dataFields count="3">
    <dataField name="Sum of Labor_Cost_CAD" fld="10" baseField="0" baseItem="0"/>
    <dataField name="Sum of Material_Cost_CAD" fld="11" baseField="0" baseItem="0"/>
    <dataField name="Sum of Subcontractor_Cost_CAD" fld="1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C26BD056-922E-5C46-A1E9-86CDCCBF83C5}" name="PivotTable5" cacheId="23"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A3:B11" firstHeaderRow="2" firstDataRow="2" firstDataCol="1"/>
  <pivotFields count="20">
    <pivotField compact="0" outline="0" showAll="0" includeNewItemsInFilter="1"/>
    <pivotField compact="0" outline="0" showAll="0" includeNewItemsInFilter="1"/>
    <pivotField axis="axisRow" compact="0" outline="0" showAll="0" includeNewItemsInFilter="1">
      <items count="7">
        <item x="3"/>
        <item x="2"/>
        <item x="4"/>
        <item x="5"/>
        <item x="1"/>
        <item x="0"/>
        <item t="default"/>
      </items>
    </pivotField>
    <pivotField compact="0" outline="0" showAll="0" includeNewItemsInFilter="1">
      <items count="7">
        <item x="5"/>
        <item x="3"/>
        <item x="1"/>
        <item x="4"/>
        <item x="0"/>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numFmtId="14" outline="0" showAll="0" includeNewItemsInFilter="1"/>
    <pivotField dataField="1" compact="0" outline="0" showAll="0" includeNewItemsInFilter="1"/>
    <pivotField compact="0" outline="0" showAll="0" includeNewItemsInFilter="1"/>
    <pivotField compact="0" outline="0" showAll="0" includeNewItemsInFilter="1">
      <items count="4">
        <item x="1"/>
        <item x="2"/>
        <item x="0"/>
        <item t="default"/>
      </items>
    </pivotField>
    <pivotField compact="0" outline="0" showAll="0" includeNewItemsInFilter="1"/>
  </pivotFields>
  <rowFields count="1">
    <field x="2"/>
  </rowFields>
  <rowItems count="7">
    <i>
      <x/>
    </i>
    <i>
      <x v="1"/>
    </i>
    <i>
      <x v="2"/>
    </i>
    <i>
      <x v="3"/>
    </i>
    <i>
      <x v="4"/>
    </i>
    <i>
      <x v="5"/>
    </i>
    <i t="grand">
      <x/>
    </i>
  </rowItems>
  <colItems count="1">
    <i/>
  </colItems>
  <dataFields count="1">
    <dataField name="Average of Delay_Days" fld="16"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EF6084AC-A173-EA4E-AAA1-D36952E00545}" name="PivotTable6" cacheId="23"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A3:C8" firstHeaderRow="1" firstDataRow="2" firstDataCol="1"/>
  <pivotFields count="20">
    <pivotField dataField="1" compact="0" outline="0" showAll="0" includeNewItemsInFilter="1"/>
    <pivotField compact="0" outline="0" showAll="0" includeNewItemsInFilter="1"/>
    <pivotField compact="0" outline="0" showAll="0" includeNewItemsInFilter="1"/>
    <pivotField compact="0" outline="0" showAll="0" includeNewItemsInFilter="1">
      <items count="7">
        <item x="5"/>
        <item x="3"/>
        <item x="1"/>
        <item x="4"/>
        <item x="0"/>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axis="axisRow" compact="0" outline="0" showAll="0" includeNewItemsInFilter="1">
      <items count="4">
        <item x="1"/>
        <item x="2"/>
        <item x="0"/>
        <item t="default"/>
      </items>
    </pivotField>
    <pivotField compact="0" outline="0" showAll="0" includeNewItemsInFilter="1"/>
  </pivotFields>
  <rowFields count="1">
    <field x="18"/>
  </rowFields>
  <rowItems count="4">
    <i>
      <x/>
    </i>
    <i>
      <x v="1"/>
    </i>
    <i>
      <x v="2"/>
    </i>
    <i t="grand">
      <x/>
    </i>
  </rowItems>
  <colFields count="1">
    <field x="-2"/>
  </colFields>
  <colItems count="2">
    <i>
      <x/>
    </i>
    <i i="1">
      <x v="1"/>
    </i>
  </colItems>
  <dataFields count="2">
    <dataField name="Count of Project_ID" fld="0" subtotal="count" baseField="0" baseItem="0"/>
    <dataField name="Average of Cost_Variance_Pct" fld="9"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28F3BD1B-9B0A-E348-B42A-C7F3EA315D7B}" name="PivotTable7" cacheId="23"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A3:B11" firstHeaderRow="2" firstDataRow="2" firstDataCol="1"/>
  <pivotFields count="20">
    <pivotField compact="0" outline="0" showAll="0" includeNewItemsInFilter="1"/>
    <pivotField compact="0" outline="0" showAll="0" includeNewItemsInFilter="1"/>
    <pivotField axis="axisRow" compact="0" outline="0" showAll="0" includeNewItemsInFilter="1">
      <items count="7">
        <item x="3"/>
        <item x="2"/>
        <item x="4"/>
        <item x="5"/>
        <item x="1"/>
        <item x="0"/>
        <item t="default"/>
      </items>
    </pivotField>
    <pivotField compact="0" outline="0" showAll="0" includeNewItemsInFilter="1">
      <items count="7">
        <item x="5"/>
        <item x="3"/>
        <item x="1"/>
        <item x="4"/>
        <item x="0"/>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items count="4">
        <item x="1"/>
        <item x="2"/>
        <item x="0"/>
        <item t="default"/>
      </items>
    </pivotField>
    <pivotField compact="0" outline="0" showAll="0" includeNewItemsInFilter="1"/>
  </pivotFields>
  <rowFields count="1">
    <field x="2"/>
  </rowFields>
  <rowItems count="7">
    <i>
      <x/>
    </i>
    <i>
      <x v="1"/>
    </i>
    <i>
      <x v="2"/>
    </i>
    <i>
      <x v="3"/>
    </i>
    <i>
      <x v="4"/>
    </i>
    <i>
      <x v="5"/>
    </i>
    <i t="grand">
      <x/>
    </i>
  </rowItems>
  <colItems count="1">
    <i/>
  </colItems>
  <dataFields count="1">
    <dataField name="Average of Cost_Variance_Pct" fld="9"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 xr10:uid="{ADEAA1F6-E3EC-3C41-9233-04F0180FC8BF}" sourceName="Region">
  <pivotTables>
    <pivotTable tabId="5" name="PivotTable4"/>
    <pivotTable tabId="2" name="PivotTable1"/>
    <pivotTable tabId="3" name="PivotTable2"/>
    <pivotTable tabId="6" name="PivotTable5"/>
    <pivotTable tabId="4" name="PivotTable3"/>
    <pivotTable tabId="7" name="PivotTable6"/>
    <pivotTable tabId="9" name="PivotTable7"/>
  </pivotTables>
  <data>
    <tabular pivotCacheId="331290405">
      <items count="6">
        <i x="5" s="1"/>
        <i x="3" s="1"/>
        <i x="1"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isk_Level" xr10:uid="{530B8E56-A938-8041-92B9-BF089CF4DDF3}" sourceName="Risk_Level">
  <pivotTables>
    <pivotTable tabId="5" name="PivotTable4"/>
    <pivotTable tabId="2" name="PivotTable1"/>
    <pivotTable tabId="3" name="PivotTable2"/>
    <pivotTable tabId="6" name="PivotTable5"/>
    <pivotTable tabId="4" name="PivotTable3"/>
    <pivotTable tabId="7" name="PivotTable6"/>
    <pivotTable tabId="9" name="PivotTable7"/>
  </pivotTables>
  <data>
    <tabular pivotCacheId="331290405">
      <items count="3">
        <i x="1" s="1"/>
        <i x="2" s="1"/>
        <i x="0"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xr10:uid="{939A4D0D-3D39-7D44-A72B-6275A74D6A4C}" cache="Slicer_Region" caption="Region" rowHeight="251883"/>
  <slicer name="Region 1" xr10:uid="{D7722BE8-4931-584F-8D07-866AA5020798}" cache="Slicer_Region" caption="Region" rowHeight="251883"/>
  <slicer name="Risk_Level" xr10:uid="{69F6458C-4096-4043-BA9A-658639033512}" cache="Slicer_Risk_Level" caption="Risk_Level" rowHeight="251883"/>
</slicer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1.xml"/></Relationships>
</file>

<file path=xl/worksheets/_rels/sheet3.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ivotTable" Target="../pivotTables/pivotTable1.xml"/></Relationships>
</file>

<file path=xl/worksheets/_rels/sheet4.xml.rels><?xml version="1.0" encoding="UTF-8" standalone="yes"?>
<Relationships xmlns="http://schemas.openxmlformats.org/package/2006/relationships"><Relationship Id="rId2" Type="http://purl.oclc.org/ooxml/officeDocument/relationships/drawing" Target="../drawings/drawing6.xml"/><Relationship Id="rId1" Type="http://purl.oclc.org/ooxml/officeDocument/relationships/pivotTable" Target="../pivotTables/pivotTable2.xml"/></Relationships>
</file>

<file path=xl/worksheets/_rels/sheet5.xml.rels><?xml version="1.0" encoding="UTF-8" standalone="yes"?>
<Relationships xmlns="http://schemas.openxmlformats.org/package/2006/relationships"><Relationship Id="rId2" Type="http://purl.oclc.org/ooxml/officeDocument/relationships/drawing" Target="../drawings/drawing7.xml"/><Relationship Id="rId1" Type="http://purl.oclc.org/ooxml/officeDocument/relationships/pivotTable" Target="../pivotTables/pivotTable3.xml"/></Relationships>
</file>

<file path=xl/worksheets/_rels/sheet6.xml.rels><?xml version="1.0" encoding="UTF-8" standalone="yes"?>
<Relationships xmlns="http://schemas.openxmlformats.org/package/2006/relationships"><Relationship Id="rId2" Type="http://purl.oclc.org/ooxml/officeDocument/relationships/drawing" Target="../drawings/drawing8.xml"/><Relationship Id="rId1" Type="http://purl.oclc.org/ooxml/officeDocument/relationships/pivotTable" Target="../pivotTables/pivotTable4.xml"/></Relationships>
</file>

<file path=xl/worksheets/_rels/sheet7.xml.rels><?xml version="1.0" encoding="UTF-8" standalone="yes"?>
<Relationships xmlns="http://schemas.openxmlformats.org/package/2006/relationships"><Relationship Id="rId2" Type="http://purl.oclc.org/ooxml/officeDocument/relationships/drawing" Target="../drawings/drawing9.xml"/><Relationship Id="rId1" Type="http://purl.oclc.org/ooxml/officeDocument/relationships/pivotTable" Target="../pivotTables/pivotTable5.xml"/></Relationships>
</file>

<file path=xl/worksheets/_rels/sheet8.xml.rels><?xml version="1.0" encoding="UTF-8" standalone="yes"?>
<Relationships xmlns="http://schemas.openxmlformats.org/package/2006/relationships"><Relationship Id="rId2" Type="http://purl.oclc.org/ooxml/officeDocument/relationships/drawing" Target="../drawings/drawing10.xml"/><Relationship Id="rId1" Type="http://purl.oclc.org/ooxml/officeDocument/relationships/pivotTable" Target="../pivotTables/pivotTable6.xml"/></Relationships>
</file>

<file path=xl/worksheets/_rels/sheet9.xml.rels><?xml version="1.0" encoding="UTF-8" standalone="yes"?>
<Relationships xmlns="http://schemas.openxmlformats.org/package/2006/relationships"><Relationship Id="rId2" Type="http://purl.oclc.org/ooxml/officeDocument/relationships/drawing" Target="../drawings/drawing11.xml"/><Relationship Id="rId1" Type="http://purl.oclc.org/ooxml/officeDocument/relationships/pivotTable" Target="../pivotTables/pivotTable7.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202F5-D6E4-6845-99D0-114A5EAA94A4}">
  <dimension ref="B1:H4"/>
  <sheetViews>
    <sheetView tabSelected="1" zoomScale="80" zoomScaleNormal="80" workbookViewId="0">
      <selection activeCell="S23" sqref="S23"/>
    </sheetView>
  </sheetViews>
  <sheetFormatPr baseColWidth="10" defaultRowHeight="16" x14ac:dyDescent="0.2"/>
  <cols>
    <col min="4" max="4" width="22.1640625" bestFit="1" customWidth="1"/>
    <col min="6" max="6" width="22.1640625" bestFit="1" customWidth="1"/>
    <col min="8" max="8" width="10.83203125" customWidth="1"/>
  </cols>
  <sheetData>
    <row r="1" spans="2:8" ht="27" x14ac:dyDescent="0.35">
      <c r="B1" s="34" t="s">
        <v>160</v>
      </c>
    </row>
    <row r="3" spans="2:8" x14ac:dyDescent="0.2">
      <c r="B3" s="17" t="s">
        <v>164</v>
      </c>
      <c r="C3" s="17"/>
      <c r="D3" s="17" t="s">
        <v>161</v>
      </c>
      <c r="E3" s="17"/>
      <c r="F3" s="17" t="s">
        <v>162</v>
      </c>
      <c r="G3" s="17"/>
      <c r="H3" s="17" t="s">
        <v>163</v>
      </c>
    </row>
    <row r="4" spans="2:8" ht="19" x14ac:dyDescent="0.25">
      <c r="B4" s="18">
        <f>COUNTA(construction_projects!A2:A51)</f>
        <v>50</v>
      </c>
      <c r="D4" s="20">
        <f>SUM(construction_projects!G2:G51)</f>
        <v>1213237564.4200003</v>
      </c>
      <c r="F4" s="19">
        <f>SUM(construction_projects!H2:H51)</f>
        <v>1392810833.7099996</v>
      </c>
      <c r="H4" s="21">
        <f>AVERAGE(construction_projects!J2:J51)</f>
        <v>15.827999999999999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3157B-481E-E14B-89B8-E85C9E6C5D08}">
  <dimension ref="A1:T51"/>
  <sheetViews>
    <sheetView workbookViewId="0">
      <selection activeCell="J2" sqref="J2"/>
    </sheetView>
  </sheetViews>
  <sheetFormatPr baseColWidth="10" defaultRowHeight="16"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B2" t="s">
        <v>21</v>
      </c>
      <c r="C2" t="s">
        <v>22</v>
      </c>
      <c r="D2" t="s">
        <v>23</v>
      </c>
      <c r="E2" t="s">
        <v>24</v>
      </c>
      <c r="F2" t="s">
        <v>25</v>
      </c>
      <c r="G2">
        <v>1738032.38</v>
      </c>
      <c r="H2">
        <v>1842334.71</v>
      </c>
      <c r="I2">
        <v>104302.33</v>
      </c>
      <c r="J2">
        <v>6</v>
      </c>
      <c r="K2">
        <v>789322.35</v>
      </c>
      <c r="L2">
        <v>584734.5</v>
      </c>
      <c r="M2">
        <v>468277.86</v>
      </c>
      <c r="N2" s="1" t="d">
        <v>2022-08-17</v>
      </c>
      <c r="O2" s="1" t="d">
        <v>2023-04-06</v>
      </c>
      <c r="P2" s="1" t="d">
        <v>2023-07-01</v>
      </c>
      <c r="Q2">
        <v>86</v>
      </c>
      <c r="R2">
        <v>34</v>
      </c>
      <c r="S2" t="s">
        <v>26</v>
      </c>
      <c r="T2" t="s">
        <v>27</v>
      </c>
    </row>
    <row r="3" spans="1:20" x14ac:dyDescent="0.2">
      <c r="A3" t="s">
        <v>28</v>
      </c>
      <c r="B3" t="s">
        <v>29</v>
      </c>
      <c r="C3" t="s">
        <v>30</v>
      </c>
      <c r="D3" t="s">
        <v>31</v>
      </c>
      <c r="E3" t="s">
        <v>32</v>
      </c>
      <c r="F3" t="s">
        <v>25</v>
      </c>
      <c r="G3">
        <v>12016714.220000001</v>
      </c>
      <c r="H3">
        <v>14309593.32</v>
      </c>
      <c r="I3">
        <v>2292879.1</v>
      </c>
      <c r="J3">
        <v>19.100000000000001</v>
      </c>
      <c r="K3">
        <v>4778029.9400000004</v>
      </c>
      <c r="L3">
        <v>5578477.75</v>
      </c>
      <c r="M3">
        <v>3953085.63</v>
      </c>
      <c r="N3" s="1" t="d">
        <v>2023-07-29</v>
      </c>
      <c r="O3" s="1" t="d">
        <v>2024-05-17</v>
      </c>
      <c r="P3" s="1" t="d">
        <v>2024-08-14</v>
      </c>
      <c r="Q3">
        <v>89</v>
      </c>
      <c r="R3">
        <v>30</v>
      </c>
      <c r="S3" t="s">
        <v>26</v>
      </c>
      <c r="T3" t="s">
        <v>33</v>
      </c>
    </row>
    <row r="4" spans="1:20" x14ac:dyDescent="0.2">
      <c r="A4" t="s">
        <v>34</v>
      </c>
      <c r="B4" t="s">
        <v>35</v>
      </c>
      <c r="C4" t="s">
        <v>22</v>
      </c>
      <c r="D4" t="s">
        <v>36</v>
      </c>
      <c r="E4" t="s">
        <v>37</v>
      </c>
      <c r="F4" t="s">
        <v>25</v>
      </c>
      <c r="G4">
        <v>17342400.57</v>
      </c>
      <c r="H4">
        <v>17553835.649999999</v>
      </c>
      <c r="I4">
        <v>211435.08</v>
      </c>
      <c r="J4">
        <v>1.2</v>
      </c>
      <c r="K4">
        <v>5648751.9199999999</v>
      </c>
      <c r="L4">
        <v>6473699.1399999997</v>
      </c>
      <c r="M4">
        <v>5431384.5899999999</v>
      </c>
      <c r="N4" s="1" t="d">
        <v>2022-12-11</v>
      </c>
      <c r="O4" s="1" t="d">
        <v>2023-06-23</v>
      </c>
      <c r="P4" s="1" t="d">
        <v>2023-06-23</v>
      </c>
      <c r="Q4">
        <v>0</v>
      </c>
      <c r="R4">
        <v>35</v>
      </c>
      <c r="S4" t="s">
        <v>26</v>
      </c>
      <c r="T4" t="s">
        <v>38</v>
      </c>
    </row>
    <row r="5" spans="1:20" x14ac:dyDescent="0.2">
      <c r="A5" t="s">
        <v>39</v>
      </c>
      <c r="B5" t="s">
        <v>40</v>
      </c>
      <c r="C5" t="s">
        <v>41</v>
      </c>
      <c r="D5" t="s">
        <v>42</v>
      </c>
      <c r="E5" t="s">
        <v>24</v>
      </c>
      <c r="F5" t="s">
        <v>25</v>
      </c>
      <c r="G5">
        <v>6678895.0599999996</v>
      </c>
      <c r="H5">
        <v>8808915.9100000001</v>
      </c>
      <c r="I5">
        <v>2130020.85</v>
      </c>
      <c r="J5">
        <v>31.9</v>
      </c>
      <c r="K5">
        <v>3291926.67</v>
      </c>
      <c r="L5">
        <v>4160815.5</v>
      </c>
      <c r="M5">
        <v>1356173.74</v>
      </c>
      <c r="N5" s="1" t="d">
        <v>2022-03-22</v>
      </c>
      <c r="O5" s="1" t="d">
        <v>2024-01-06</v>
      </c>
      <c r="P5" s="1" t="d">
        <v>2024-01-06</v>
      </c>
      <c r="Q5">
        <v>0</v>
      </c>
      <c r="R5">
        <v>54</v>
      </c>
      <c r="S5" t="s">
        <v>43</v>
      </c>
      <c r="T5" t="s">
        <v>38</v>
      </c>
    </row>
    <row r="6" spans="1:20" x14ac:dyDescent="0.2">
      <c r="A6" t="s">
        <v>44</v>
      </c>
      <c r="B6" t="s">
        <v>45</v>
      </c>
      <c r="C6" t="s">
        <v>30</v>
      </c>
      <c r="D6" t="s">
        <v>23</v>
      </c>
      <c r="E6" t="s">
        <v>46</v>
      </c>
      <c r="F6" t="s">
        <v>25</v>
      </c>
      <c r="G6">
        <v>33232534.27</v>
      </c>
      <c r="H6">
        <v>41847315.609999999</v>
      </c>
      <c r="I6">
        <v>8614781.3399999999</v>
      </c>
      <c r="J6">
        <v>25.9</v>
      </c>
      <c r="K6">
        <v>14256629.710000001</v>
      </c>
      <c r="L6">
        <v>19535251.140000001</v>
      </c>
      <c r="M6">
        <v>8055434.7599999998</v>
      </c>
      <c r="N6" s="1" t="d">
        <v>2022-03-23</v>
      </c>
      <c r="O6" s="1" t="d">
        <v>2023-02-14</v>
      </c>
      <c r="P6" s="1" t="d">
        <v>2023-04-03</v>
      </c>
      <c r="Q6">
        <v>48</v>
      </c>
      <c r="R6">
        <v>77</v>
      </c>
      <c r="S6" t="s">
        <v>47</v>
      </c>
      <c r="T6" t="s">
        <v>48</v>
      </c>
    </row>
    <row r="7" spans="1:20" x14ac:dyDescent="0.2">
      <c r="A7" t="s">
        <v>49</v>
      </c>
      <c r="B7" t="s">
        <v>50</v>
      </c>
      <c r="C7" t="s">
        <v>51</v>
      </c>
      <c r="D7" t="s">
        <v>52</v>
      </c>
      <c r="E7" t="s">
        <v>32</v>
      </c>
      <c r="F7" t="s">
        <v>25</v>
      </c>
      <c r="G7">
        <v>13715402.189999999</v>
      </c>
      <c r="H7">
        <v>18168269.829999998</v>
      </c>
      <c r="I7">
        <v>4452867.6399999997</v>
      </c>
      <c r="J7">
        <v>32.5</v>
      </c>
      <c r="K7">
        <v>7191461.9400000004</v>
      </c>
      <c r="L7">
        <v>6044229.0700000003</v>
      </c>
      <c r="M7">
        <v>4932578.82</v>
      </c>
      <c r="N7" s="1" t="d">
        <v>2023-10-26</v>
      </c>
      <c r="O7" s="1" t="d">
        <v>2024-04-06</v>
      </c>
      <c r="P7" s="1" t="d">
        <v>2024-04-27</v>
      </c>
      <c r="Q7">
        <v>21</v>
      </c>
      <c r="R7">
        <v>64</v>
      </c>
      <c r="S7" t="s">
        <v>26</v>
      </c>
      <c r="T7" t="s">
        <v>38</v>
      </c>
    </row>
    <row r="8" spans="1:20" x14ac:dyDescent="0.2">
      <c r="A8" t="s">
        <v>53</v>
      </c>
      <c r="B8" t="s">
        <v>54</v>
      </c>
      <c r="C8" t="s">
        <v>22</v>
      </c>
      <c r="D8" t="s">
        <v>42</v>
      </c>
      <c r="E8" t="s">
        <v>46</v>
      </c>
      <c r="F8" t="s">
        <v>25</v>
      </c>
      <c r="G8">
        <v>11370951.109999999</v>
      </c>
      <c r="H8">
        <v>12277364.800000001</v>
      </c>
      <c r="I8">
        <v>906413.69</v>
      </c>
      <c r="J8">
        <v>8</v>
      </c>
      <c r="K8">
        <v>4054390.49</v>
      </c>
      <c r="L8">
        <v>3845733.77</v>
      </c>
      <c r="M8">
        <v>4377240.54</v>
      </c>
      <c r="N8" s="1" t="d">
        <v>2022-02-27</v>
      </c>
      <c r="O8" s="1" t="d">
        <v>2023-01-17</v>
      </c>
      <c r="P8" s="1" t="d">
        <v>2023-04-30</v>
      </c>
      <c r="Q8">
        <v>103</v>
      </c>
      <c r="R8">
        <v>70</v>
      </c>
      <c r="S8" t="s">
        <v>43</v>
      </c>
      <c r="T8" t="s">
        <v>33</v>
      </c>
    </row>
    <row r="9" spans="1:20" x14ac:dyDescent="0.2">
      <c r="A9" t="s">
        <v>55</v>
      </c>
      <c r="B9" t="s">
        <v>56</v>
      </c>
      <c r="C9" t="s">
        <v>22</v>
      </c>
      <c r="D9" t="s">
        <v>36</v>
      </c>
      <c r="E9" t="s">
        <v>57</v>
      </c>
      <c r="F9" t="s">
        <v>25</v>
      </c>
      <c r="G9">
        <v>20083779.100000001</v>
      </c>
      <c r="H9">
        <v>26426618.850000001</v>
      </c>
      <c r="I9">
        <v>6342839.75</v>
      </c>
      <c r="J9">
        <v>31.6</v>
      </c>
      <c r="K9">
        <v>10544162.689999999</v>
      </c>
      <c r="L9">
        <v>10776655.140000001</v>
      </c>
      <c r="M9">
        <v>5105801.0199999996</v>
      </c>
      <c r="N9" s="1" t="d">
        <v>2023-04-15</v>
      </c>
      <c r="O9" s="1" t="d">
        <v>2023-12-07</v>
      </c>
      <c r="P9" s="1" t="d">
        <v>2023-12-07</v>
      </c>
      <c r="Q9">
        <v>0</v>
      </c>
      <c r="R9">
        <v>84</v>
      </c>
      <c r="S9" t="s">
        <v>43</v>
      </c>
      <c r="T9" t="s">
        <v>58</v>
      </c>
    </row>
    <row r="10" spans="1:20" x14ac:dyDescent="0.2">
      <c r="A10" t="s">
        <v>59</v>
      </c>
      <c r="B10" t="s">
        <v>60</v>
      </c>
      <c r="C10" t="s">
        <v>41</v>
      </c>
      <c r="D10" t="s">
        <v>61</v>
      </c>
      <c r="E10" t="s">
        <v>37</v>
      </c>
      <c r="F10" t="s">
        <v>25</v>
      </c>
      <c r="G10">
        <v>11356377.58</v>
      </c>
      <c r="H10">
        <v>15319924.18</v>
      </c>
      <c r="I10">
        <v>3963546.6</v>
      </c>
      <c r="J10">
        <v>34.9</v>
      </c>
      <c r="K10">
        <v>6468387.2999999998</v>
      </c>
      <c r="L10">
        <v>5064280.74</v>
      </c>
      <c r="M10">
        <v>3787256.14</v>
      </c>
      <c r="N10" s="1" t="d">
        <v>2023-06-06</v>
      </c>
      <c r="O10" s="1" t="d">
        <v>2025-01-21</v>
      </c>
      <c r="P10" s="1" t="d">
        <v>2025-01-21</v>
      </c>
      <c r="Q10">
        <v>0</v>
      </c>
      <c r="R10">
        <v>84</v>
      </c>
      <c r="S10" t="s">
        <v>47</v>
      </c>
      <c r="T10" t="s">
        <v>58</v>
      </c>
    </row>
    <row r="11" spans="1:20" x14ac:dyDescent="0.2">
      <c r="A11" t="s">
        <v>62</v>
      </c>
      <c r="B11" t="s">
        <v>63</v>
      </c>
      <c r="C11" t="s">
        <v>30</v>
      </c>
      <c r="D11" t="s">
        <v>36</v>
      </c>
      <c r="E11" t="s">
        <v>37</v>
      </c>
      <c r="F11" t="s">
        <v>25</v>
      </c>
      <c r="G11">
        <v>19390154.68</v>
      </c>
      <c r="H11">
        <v>26146626</v>
      </c>
      <c r="I11">
        <v>6756471.3200000003</v>
      </c>
      <c r="J11">
        <v>34.799999999999997</v>
      </c>
      <c r="K11">
        <v>10094079.68</v>
      </c>
      <c r="L11">
        <v>8443016.1199999992</v>
      </c>
      <c r="M11">
        <v>7609530.2000000002</v>
      </c>
      <c r="N11" s="1" t="d">
        <v>2023-06-26</v>
      </c>
      <c r="O11" s="1" t="d">
        <v>2024-06-07</v>
      </c>
      <c r="P11" s="1" t="d">
        <v>2024-09-25</v>
      </c>
      <c r="Q11">
        <v>110</v>
      </c>
      <c r="R11">
        <v>64</v>
      </c>
      <c r="S11" t="s">
        <v>43</v>
      </c>
      <c r="T11" t="s">
        <v>38</v>
      </c>
    </row>
    <row r="12" spans="1:20" x14ac:dyDescent="0.2">
      <c r="A12" t="s">
        <v>64</v>
      </c>
      <c r="B12" t="s">
        <v>65</v>
      </c>
      <c r="C12" t="s">
        <v>66</v>
      </c>
      <c r="D12" t="s">
        <v>23</v>
      </c>
      <c r="E12" t="s">
        <v>32</v>
      </c>
      <c r="F12" t="s">
        <v>25</v>
      </c>
      <c r="G12">
        <v>15028256.369999999</v>
      </c>
      <c r="H12">
        <v>15227577.66</v>
      </c>
      <c r="I12">
        <v>199321.29</v>
      </c>
      <c r="J12">
        <v>1.3</v>
      </c>
      <c r="K12">
        <v>6127462.1299999999</v>
      </c>
      <c r="L12">
        <v>6114425.7199999997</v>
      </c>
      <c r="M12">
        <v>2985689.81</v>
      </c>
      <c r="N12" s="1" t="d">
        <v>2022-01-04</v>
      </c>
      <c r="O12" s="1" t="d">
        <v>2024-04-12</v>
      </c>
      <c r="P12" s="1" t="d">
        <v>2024-05-15</v>
      </c>
      <c r="Q12">
        <v>33</v>
      </c>
      <c r="R12">
        <v>68</v>
      </c>
      <c r="S12" t="s">
        <v>47</v>
      </c>
      <c r="T12" t="s">
        <v>38</v>
      </c>
    </row>
    <row r="13" spans="1:20" x14ac:dyDescent="0.2">
      <c r="A13" t="s">
        <v>67</v>
      </c>
      <c r="B13" t="s">
        <v>68</v>
      </c>
      <c r="C13" t="s">
        <v>69</v>
      </c>
      <c r="D13" t="s">
        <v>42</v>
      </c>
      <c r="E13" t="s">
        <v>32</v>
      </c>
      <c r="F13" t="s">
        <v>25</v>
      </c>
      <c r="G13">
        <v>10346099.539999999</v>
      </c>
      <c r="H13">
        <v>11376214.539999999</v>
      </c>
      <c r="I13">
        <v>1030115</v>
      </c>
      <c r="J13">
        <v>10</v>
      </c>
      <c r="K13">
        <v>4933849.4400000004</v>
      </c>
      <c r="L13">
        <v>4775608.78</v>
      </c>
      <c r="M13">
        <v>1666756.32</v>
      </c>
      <c r="N13" s="1" t="d">
        <v>2022-06-15</v>
      </c>
      <c r="O13" s="1" t="d">
        <v>2024-03-18</v>
      </c>
      <c r="P13" s="1" t="d">
        <v>2024-07-14</v>
      </c>
      <c r="Q13">
        <v>118</v>
      </c>
      <c r="R13">
        <v>32</v>
      </c>
      <c r="S13" t="s">
        <v>26</v>
      </c>
      <c r="T13" t="s">
        <v>27</v>
      </c>
    </row>
    <row r="14" spans="1:20" x14ac:dyDescent="0.2">
      <c r="A14" t="s">
        <v>70</v>
      </c>
      <c r="B14" t="s">
        <v>71</v>
      </c>
      <c r="C14" t="s">
        <v>66</v>
      </c>
      <c r="D14" t="s">
        <v>61</v>
      </c>
      <c r="E14" t="s">
        <v>72</v>
      </c>
      <c r="F14" t="s">
        <v>25</v>
      </c>
      <c r="G14">
        <v>12352889.359999999</v>
      </c>
      <c r="H14">
        <v>12925428.939999999</v>
      </c>
      <c r="I14">
        <v>572539.57999999996</v>
      </c>
      <c r="J14">
        <v>4.5999999999999996</v>
      </c>
      <c r="K14">
        <v>5340847.3499999996</v>
      </c>
      <c r="L14">
        <v>6405802.5</v>
      </c>
      <c r="M14">
        <v>1178779.0900000001</v>
      </c>
      <c r="N14" s="1" t="d">
        <v>2023-08-04</v>
      </c>
      <c r="O14" s="1" t="d">
        <v>2024-01-21</v>
      </c>
      <c r="P14" s="1" t="d">
        <v>2024-01-21</v>
      </c>
      <c r="Q14">
        <v>0</v>
      </c>
      <c r="R14">
        <v>46</v>
      </c>
      <c r="S14" t="s">
        <v>43</v>
      </c>
      <c r="T14" t="s">
        <v>33</v>
      </c>
    </row>
    <row r="15" spans="1:20" x14ac:dyDescent="0.2">
      <c r="A15" t="s">
        <v>73</v>
      </c>
      <c r="B15" t="s">
        <v>74</v>
      </c>
      <c r="C15" t="s">
        <v>22</v>
      </c>
      <c r="D15" t="s">
        <v>36</v>
      </c>
      <c r="E15" t="s">
        <v>32</v>
      </c>
      <c r="F15" t="s">
        <v>25</v>
      </c>
      <c r="G15">
        <v>47369009.649999999</v>
      </c>
      <c r="H15">
        <v>48129319.369999997</v>
      </c>
      <c r="I15">
        <v>760309.72</v>
      </c>
      <c r="J15">
        <v>1.6</v>
      </c>
      <c r="K15">
        <v>19302409.809999999</v>
      </c>
      <c r="L15">
        <v>21079367.73</v>
      </c>
      <c r="M15">
        <v>7747541.8300000001</v>
      </c>
      <c r="N15" s="1" t="d">
        <v>2023-06-25</v>
      </c>
      <c r="O15" s="1" t="d">
        <v>2025-06-05</v>
      </c>
      <c r="P15" s="1" t="d">
        <v>2025-07-02</v>
      </c>
      <c r="Q15">
        <v>27</v>
      </c>
      <c r="R15">
        <v>69</v>
      </c>
      <c r="S15" t="s">
        <v>43</v>
      </c>
      <c r="T15" t="s">
        <v>75</v>
      </c>
    </row>
    <row r="16" spans="1:20" x14ac:dyDescent="0.2">
      <c r="A16" t="s">
        <v>76</v>
      </c>
      <c r="B16" t="s">
        <v>77</v>
      </c>
      <c r="C16" t="s">
        <v>22</v>
      </c>
      <c r="D16" t="s">
        <v>52</v>
      </c>
      <c r="E16" t="s">
        <v>37</v>
      </c>
      <c r="F16" t="s">
        <v>25</v>
      </c>
      <c r="G16">
        <v>18984314.879999999</v>
      </c>
      <c r="H16">
        <v>24866521.960000001</v>
      </c>
      <c r="I16">
        <v>5882207.0800000001</v>
      </c>
      <c r="J16">
        <v>31</v>
      </c>
      <c r="K16">
        <v>7898032.9000000004</v>
      </c>
      <c r="L16">
        <v>10385794.92</v>
      </c>
      <c r="M16">
        <v>6582694.1399999997</v>
      </c>
      <c r="N16" s="1" t="d">
        <v>2023-04-08</v>
      </c>
      <c r="O16" s="1" t="d">
        <v>2023-11-07</v>
      </c>
      <c r="P16" s="1" t="d">
        <v>2023-11-07</v>
      </c>
      <c r="Q16">
        <v>0</v>
      </c>
      <c r="R16">
        <v>58</v>
      </c>
      <c r="S16" t="s">
        <v>47</v>
      </c>
      <c r="T16" t="s">
        <v>27</v>
      </c>
    </row>
    <row r="17" spans="1:20" x14ac:dyDescent="0.2">
      <c r="A17" t="s">
        <v>78</v>
      </c>
      <c r="B17" t="s">
        <v>79</v>
      </c>
      <c r="C17" t="s">
        <v>30</v>
      </c>
      <c r="D17" t="s">
        <v>52</v>
      </c>
      <c r="E17" t="s">
        <v>57</v>
      </c>
      <c r="F17" t="s">
        <v>25</v>
      </c>
      <c r="G17">
        <v>31739596.379999999</v>
      </c>
      <c r="H17">
        <v>33059224.489999998</v>
      </c>
      <c r="I17">
        <v>1319628.1100000001</v>
      </c>
      <c r="J17">
        <v>4.2</v>
      </c>
      <c r="K17">
        <v>10106054.6</v>
      </c>
      <c r="L17">
        <v>13127252.73</v>
      </c>
      <c r="M17">
        <v>9825917.1600000001</v>
      </c>
      <c r="N17" s="1" t="d">
        <v>2022-02-02</v>
      </c>
      <c r="O17" s="1" t="d">
        <v>2023-04-06</v>
      </c>
      <c r="P17" s="1" t="d">
        <v>2023-04-06</v>
      </c>
      <c r="Q17">
        <v>0</v>
      </c>
      <c r="R17">
        <v>46</v>
      </c>
      <c r="S17" t="s">
        <v>43</v>
      </c>
      <c r="T17" t="s">
        <v>38</v>
      </c>
    </row>
    <row r="18" spans="1:20" x14ac:dyDescent="0.2">
      <c r="A18" t="s">
        <v>80</v>
      </c>
      <c r="B18" t="s">
        <v>81</v>
      </c>
      <c r="C18" t="s">
        <v>69</v>
      </c>
      <c r="D18" t="s">
        <v>42</v>
      </c>
      <c r="E18" t="s">
        <v>24</v>
      </c>
      <c r="F18" t="s">
        <v>25</v>
      </c>
      <c r="G18">
        <v>23897215.800000001</v>
      </c>
      <c r="H18">
        <v>30202442.890000001</v>
      </c>
      <c r="I18">
        <v>6305227.0899999999</v>
      </c>
      <c r="J18">
        <v>26.4</v>
      </c>
      <c r="K18">
        <v>10154370.470000001</v>
      </c>
      <c r="L18">
        <v>11619354.699999999</v>
      </c>
      <c r="M18">
        <v>8428717.7200000007</v>
      </c>
      <c r="N18" s="1" t="d">
        <v>2023-02-21</v>
      </c>
      <c r="O18" s="1" t="d">
        <v>2023-12-02</v>
      </c>
      <c r="P18" s="1" t="d">
        <v>2023-12-02</v>
      </c>
      <c r="Q18">
        <v>0</v>
      </c>
      <c r="R18">
        <v>36</v>
      </c>
      <c r="S18" t="s">
        <v>26</v>
      </c>
      <c r="T18" t="s">
        <v>38</v>
      </c>
    </row>
    <row r="19" spans="1:20" x14ac:dyDescent="0.2">
      <c r="A19" t="s">
        <v>82</v>
      </c>
      <c r="B19" t="s">
        <v>83</v>
      </c>
      <c r="C19" t="s">
        <v>22</v>
      </c>
      <c r="D19" t="s">
        <v>52</v>
      </c>
      <c r="E19" t="s">
        <v>57</v>
      </c>
      <c r="F19" t="s">
        <v>25</v>
      </c>
      <c r="G19">
        <v>5371684.6200000001</v>
      </c>
      <c r="H19">
        <v>5968202.21</v>
      </c>
      <c r="I19">
        <v>596517.59</v>
      </c>
      <c r="J19">
        <v>11.1</v>
      </c>
      <c r="K19">
        <v>2132182.92</v>
      </c>
      <c r="L19">
        <v>1957787.92</v>
      </c>
      <c r="M19">
        <v>1878231.37</v>
      </c>
      <c r="N19" s="1" t="d">
        <v>2022-12-14</v>
      </c>
      <c r="O19" s="1" t="d">
        <v>2023-07-03</v>
      </c>
      <c r="P19" s="1" t="d">
        <v>2023-07-03</v>
      </c>
      <c r="Q19">
        <v>0</v>
      </c>
      <c r="R19">
        <v>65</v>
      </c>
      <c r="S19" t="s">
        <v>47</v>
      </c>
      <c r="T19" t="s">
        <v>75</v>
      </c>
    </row>
    <row r="20" spans="1:20" x14ac:dyDescent="0.2">
      <c r="A20" t="s">
        <v>84</v>
      </c>
      <c r="B20" t="s">
        <v>85</v>
      </c>
      <c r="C20" t="s">
        <v>51</v>
      </c>
      <c r="D20" t="s">
        <v>23</v>
      </c>
      <c r="E20" t="s">
        <v>32</v>
      </c>
      <c r="F20" t="s">
        <v>25</v>
      </c>
      <c r="G20">
        <v>22434971.879999999</v>
      </c>
      <c r="H20">
        <v>29042960.460000001</v>
      </c>
      <c r="I20">
        <v>6607988.5800000001</v>
      </c>
      <c r="J20">
        <v>29.5</v>
      </c>
      <c r="K20">
        <v>12116883.33</v>
      </c>
      <c r="L20">
        <v>14341392.140000001</v>
      </c>
      <c r="M20">
        <v>2584684.9900000002</v>
      </c>
      <c r="N20" s="1" t="d">
        <v>2023-07-18</v>
      </c>
      <c r="O20" s="1" t="d">
        <v>2024-01-24</v>
      </c>
      <c r="P20" s="1" t="d">
        <v>2024-01-24</v>
      </c>
      <c r="Q20">
        <v>0</v>
      </c>
      <c r="R20">
        <v>51</v>
      </c>
      <c r="S20" t="s">
        <v>47</v>
      </c>
      <c r="T20" t="s">
        <v>75</v>
      </c>
    </row>
    <row r="21" spans="1:20" x14ac:dyDescent="0.2">
      <c r="A21" t="s">
        <v>86</v>
      </c>
      <c r="B21" t="s">
        <v>87</v>
      </c>
      <c r="C21" t="s">
        <v>41</v>
      </c>
      <c r="D21" t="s">
        <v>36</v>
      </c>
      <c r="E21" t="s">
        <v>72</v>
      </c>
      <c r="F21" t="s">
        <v>25</v>
      </c>
      <c r="G21">
        <v>11080491.310000001</v>
      </c>
      <c r="H21">
        <v>12303956.140000001</v>
      </c>
      <c r="I21">
        <v>1223464.83</v>
      </c>
      <c r="J21">
        <v>11</v>
      </c>
      <c r="K21">
        <v>3728598.39</v>
      </c>
      <c r="L21">
        <v>5620620.9000000004</v>
      </c>
      <c r="M21">
        <v>2954736.85</v>
      </c>
      <c r="N21" s="1" t="d">
        <v>2022-03-02</v>
      </c>
      <c r="O21" s="1" t="d">
        <v>2022-11-15</v>
      </c>
      <c r="P21" s="1" t="d">
        <v>2022-11-15</v>
      </c>
      <c r="Q21">
        <v>0</v>
      </c>
      <c r="R21">
        <v>66</v>
      </c>
      <c r="S21" t="s">
        <v>26</v>
      </c>
      <c r="T21" t="s">
        <v>75</v>
      </c>
    </row>
    <row r="22" spans="1:20" x14ac:dyDescent="0.2">
      <c r="A22" t="s">
        <v>88</v>
      </c>
      <c r="B22" t="s">
        <v>89</v>
      </c>
      <c r="C22" t="s">
        <v>22</v>
      </c>
      <c r="D22" t="s">
        <v>52</v>
      </c>
      <c r="E22" t="s">
        <v>57</v>
      </c>
      <c r="F22" t="s">
        <v>25</v>
      </c>
      <c r="G22">
        <v>49773423.130000003</v>
      </c>
      <c r="H22">
        <v>58349748.740000002</v>
      </c>
      <c r="I22">
        <v>8576325.6099999994</v>
      </c>
      <c r="J22">
        <v>17.2</v>
      </c>
      <c r="K22">
        <v>25892226.789999999</v>
      </c>
      <c r="L22">
        <v>24263929.510000002</v>
      </c>
      <c r="M22">
        <v>8193592.4400000004</v>
      </c>
      <c r="N22" s="1" t="d">
        <v>2023-05-14</v>
      </c>
      <c r="O22" s="1" t="d">
        <v>2024-01-17</v>
      </c>
      <c r="P22" s="1" t="d">
        <v>2024-01-17</v>
      </c>
      <c r="Q22">
        <v>0</v>
      </c>
      <c r="R22">
        <v>37</v>
      </c>
      <c r="S22" t="s">
        <v>43</v>
      </c>
      <c r="T22" t="s">
        <v>38</v>
      </c>
    </row>
    <row r="23" spans="1:20" x14ac:dyDescent="0.2">
      <c r="A23" t="s">
        <v>90</v>
      </c>
      <c r="B23" t="s">
        <v>91</v>
      </c>
      <c r="C23" t="s">
        <v>66</v>
      </c>
      <c r="D23" t="s">
        <v>23</v>
      </c>
      <c r="E23" t="s">
        <v>32</v>
      </c>
      <c r="F23" t="s">
        <v>25</v>
      </c>
      <c r="G23">
        <v>2982045.69</v>
      </c>
      <c r="H23">
        <v>3401665.46</v>
      </c>
      <c r="I23">
        <v>419619.77</v>
      </c>
      <c r="J23">
        <v>14.1</v>
      </c>
      <c r="K23">
        <v>904918.85</v>
      </c>
      <c r="L23">
        <v>1146922.51</v>
      </c>
      <c r="M23">
        <v>1349824.1</v>
      </c>
      <c r="N23" s="1" t="d">
        <v>2023-06-28</v>
      </c>
      <c r="O23" s="1" t="d">
        <v>2024-03-05</v>
      </c>
      <c r="P23" s="1" t="d">
        <v>2024-03-05</v>
      </c>
      <c r="Q23">
        <v>0</v>
      </c>
      <c r="R23">
        <v>38</v>
      </c>
      <c r="S23" t="s">
        <v>43</v>
      </c>
      <c r="T23" t="s">
        <v>38</v>
      </c>
    </row>
    <row r="24" spans="1:20" x14ac:dyDescent="0.2">
      <c r="A24" t="s">
        <v>92</v>
      </c>
      <c r="B24" t="s">
        <v>93</v>
      </c>
      <c r="C24" t="s">
        <v>51</v>
      </c>
      <c r="D24" t="s">
        <v>36</v>
      </c>
      <c r="E24" t="s">
        <v>37</v>
      </c>
      <c r="F24" t="s">
        <v>25</v>
      </c>
      <c r="G24">
        <v>6434387.3899999997</v>
      </c>
      <c r="H24">
        <v>8404049.4100000001</v>
      </c>
      <c r="I24">
        <v>1969662.02</v>
      </c>
      <c r="J24">
        <v>30.6</v>
      </c>
      <c r="K24">
        <v>2805649.73</v>
      </c>
      <c r="L24">
        <v>3502256.97</v>
      </c>
      <c r="M24">
        <v>2096142.71</v>
      </c>
      <c r="N24" s="1" t="d">
        <v>2022-09-10</v>
      </c>
      <c r="O24" s="1" t="d">
        <v>2024-07-23</v>
      </c>
      <c r="P24" s="1" t="d">
        <v>2024-10-10</v>
      </c>
      <c r="Q24">
        <v>79</v>
      </c>
      <c r="R24">
        <v>70</v>
      </c>
      <c r="S24" t="s">
        <v>43</v>
      </c>
      <c r="T24" t="s">
        <v>48</v>
      </c>
    </row>
    <row r="25" spans="1:20" x14ac:dyDescent="0.2">
      <c r="A25" t="s">
        <v>94</v>
      </c>
      <c r="B25" t="s">
        <v>95</v>
      </c>
      <c r="C25" t="s">
        <v>51</v>
      </c>
      <c r="D25" t="s">
        <v>52</v>
      </c>
      <c r="E25" t="s">
        <v>72</v>
      </c>
      <c r="F25" t="s">
        <v>25</v>
      </c>
      <c r="G25">
        <v>35951494.140000001</v>
      </c>
      <c r="H25">
        <v>37586366.079999998</v>
      </c>
      <c r="I25">
        <v>1634871.94</v>
      </c>
      <c r="J25">
        <v>4.5</v>
      </c>
      <c r="K25">
        <v>11773381.890000001</v>
      </c>
      <c r="L25">
        <v>16927880.629999999</v>
      </c>
      <c r="M25">
        <v>8885103.5600000005</v>
      </c>
      <c r="N25" s="1" t="d">
        <v>2023-02-10</v>
      </c>
      <c r="O25" s="1" t="d">
        <v>2023-09-22</v>
      </c>
      <c r="P25" s="1" t="d">
        <v>2023-10-30</v>
      </c>
      <c r="Q25">
        <v>38</v>
      </c>
      <c r="R25">
        <v>31</v>
      </c>
      <c r="S25" t="s">
        <v>47</v>
      </c>
      <c r="T25" t="s">
        <v>75</v>
      </c>
    </row>
    <row r="26" spans="1:20" x14ac:dyDescent="0.2">
      <c r="A26" t="s">
        <v>96</v>
      </c>
      <c r="B26" t="s">
        <v>97</v>
      </c>
      <c r="C26" t="s">
        <v>69</v>
      </c>
      <c r="D26" t="s">
        <v>42</v>
      </c>
      <c r="E26" t="s">
        <v>46</v>
      </c>
      <c r="F26" t="s">
        <v>25</v>
      </c>
      <c r="G26">
        <v>49806774.170000002</v>
      </c>
      <c r="H26">
        <v>48775987.539999999</v>
      </c>
      <c r="I26">
        <v>-1030786.63</v>
      </c>
      <c r="J26">
        <v>-2.1</v>
      </c>
      <c r="K26">
        <v>20787000.879999999</v>
      </c>
      <c r="L26">
        <v>23210251.140000001</v>
      </c>
      <c r="M26">
        <v>4778735.5199999996</v>
      </c>
      <c r="N26" s="1" t="d">
        <v>2022-08-07</v>
      </c>
      <c r="O26" s="1" t="d">
        <v>2024-04-06</v>
      </c>
      <c r="P26" s="1" t="d">
        <v>2024-04-06</v>
      </c>
      <c r="Q26">
        <v>0</v>
      </c>
      <c r="R26">
        <v>66</v>
      </c>
      <c r="S26" t="s">
        <v>26</v>
      </c>
      <c r="T26" t="s">
        <v>33</v>
      </c>
    </row>
    <row r="27" spans="1:20" x14ac:dyDescent="0.2">
      <c r="A27" t="s">
        <v>98</v>
      </c>
      <c r="B27" t="s">
        <v>99</v>
      </c>
      <c r="C27" t="s">
        <v>41</v>
      </c>
      <c r="D27" t="s">
        <v>42</v>
      </c>
      <c r="E27" t="s">
        <v>32</v>
      </c>
      <c r="F27" t="s">
        <v>25</v>
      </c>
      <c r="G27">
        <v>35325226.289999999</v>
      </c>
      <c r="H27">
        <v>42202027.170000002</v>
      </c>
      <c r="I27">
        <v>6876800.8799999999</v>
      </c>
      <c r="J27">
        <v>19.5</v>
      </c>
      <c r="K27">
        <v>13077384.84</v>
      </c>
      <c r="L27">
        <v>18259877.870000001</v>
      </c>
      <c r="M27">
        <v>10864764.460000001</v>
      </c>
      <c r="N27" s="1" t="d">
        <v>2023-11-01</v>
      </c>
      <c r="O27" s="1" t="d">
        <v>2025-07-24</v>
      </c>
      <c r="P27" s="1" t="d">
        <v>2025-07-24</v>
      </c>
      <c r="Q27">
        <v>0</v>
      </c>
      <c r="R27">
        <v>63</v>
      </c>
      <c r="S27" t="s">
        <v>47</v>
      </c>
      <c r="T27" t="s">
        <v>27</v>
      </c>
    </row>
    <row r="28" spans="1:20" x14ac:dyDescent="0.2">
      <c r="A28" t="s">
        <v>100</v>
      </c>
      <c r="B28" t="s">
        <v>101</v>
      </c>
      <c r="C28" t="s">
        <v>30</v>
      </c>
      <c r="D28" t="s">
        <v>52</v>
      </c>
      <c r="E28" t="s">
        <v>24</v>
      </c>
      <c r="F28" t="s">
        <v>25</v>
      </c>
      <c r="G28">
        <v>27884570.219999999</v>
      </c>
      <c r="H28">
        <v>29528066.850000001</v>
      </c>
      <c r="I28">
        <v>1643496.63</v>
      </c>
      <c r="J28">
        <v>5.9</v>
      </c>
      <c r="K28">
        <v>11127580.880000001</v>
      </c>
      <c r="L28">
        <v>10417406.91</v>
      </c>
      <c r="M28">
        <v>7983079.0599999996</v>
      </c>
      <c r="N28" s="1" t="d">
        <v>2023-09-12</v>
      </c>
      <c r="O28" s="1" t="d">
        <v>2024-07-13</v>
      </c>
      <c r="P28" s="1" t="d">
        <v>2024-08-08</v>
      </c>
      <c r="Q28">
        <v>26</v>
      </c>
      <c r="R28">
        <v>62</v>
      </c>
      <c r="S28" t="s">
        <v>26</v>
      </c>
      <c r="T28" t="s">
        <v>27</v>
      </c>
    </row>
    <row r="29" spans="1:20" x14ac:dyDescent="0.2">
      <c r="A29" t="s">
        <v>102</v>
      </c>
      <c r="B29" t="s">
        <v>103</v>
      </c>
      <c r="C29" t="s">
        <v>30</v>
      </c>
      <c r="D29" t="s">
        <v>52</v>
      </c>
      <c r="E29" t="s">
        <v>46</v>
      </c>
      <c r="F29" t="s">
        <v>25</v>
      </c>
      <c r="G29">
        <v>21467000.739999998</v>
      </c>
      <c r="H29">
        <v>22769448.530000001</v>
      </c>
      <c r="I29">
        <v>1302447.79</v>
      </c>
      <c r="J29">
        <v>6.1</v>
      </c>
      <c r="K29">
        <v>6428188.6299999999</v>
      </c>
      <c r="L29">
        <v>8842904.75</v>
      </c>
      <c r="M29">
        <v>7498355.1500000004</v>
      </c>
      <c r="N29" s="1" t="d">
        <v>2022-01-04</v>
      </c>
      <c r="O29" s="1" t="d">
        <v>2023-03-11</v>
      </c>
      <c r="P29" s="1" t="d">
        <v>2023-05-31</v>
      </c>
      <c r="Q29">
        <v>81</v>
      </c>
      <c r="R29">
        <v>84</v>
      </c>
      <c r="S29" t="s">
        <v>43</v>
      </c>
      <c r="T29" t="s">
        <v>58</v>
      </c>
    </row>
    <row r="30" spans="1:20" x14ac:dyDescent="0.2">
      <c r="A30" t="s">
        <v>104</v>
      </c>
      <c r="B30" t="s">
        <v>105</v>
      </c>
      <c r="C30" t="s">
        <v>30</v>
      </c>
      <c r="D30" t="s">
        <v>23</v>
      </c>
      <c r="E30" t="s">
        <v>46</v>
      </c>
      <c r="F30" t="s">
        <v>25</v>
      </c>
      <c r="G30">
        <v>4224571.07</v>
      </c>
      <c r="H30">
        <v>5505640.7999999998</v>
      </c>
      <c r="I30">
        <v>1281069.73</v>
      </c>
      <c r="J30">
        <v>30.3</v>
      </c>
      <c r="K30">
        <v>2017827.89</v>
      </c>
      <c r="L30">
        <v>1814762.48</v>
      </c>
      <c r="M30">
        <v>1673050.43</v>
      </c>
      <c r="N30" s="1" t="d">
        <v>2022-06-02</v>
      </c>
      <c r="O30" s="1" t="d">
        <v>2024-03-11</v>
      </c>
      <c r="P30" s="1" t="d">
        <v>2024-03-11</v>
      </c>
      <c r="Q30">
        <v>0</v>
      </c>
      <c r="R30">
        <v>35</v>
      </c>
      <c r="S30" t="s">
        <v>47</v>
      </c>
      <c r="T30" t="s">
        <v>48</v>
      </c>
    </row>
    <row r="31" spans="1:20" x14ac:dyDescent="0.2">
      <c r="A31" t="s">
        <v>106</v>
      </c>
      <c r="B31" t="s">
        <v>107</v>
      </c>
      <c r="C31" t="s">
        <v>66</v>
      </c>
      <c r="D31" t="s">
        <v>23</v>
      </c>
      <c r="E31" t="s">
        <v>32</v>
      </c>
      <c r="F31" t="s">
        <v>25</v>
      </c>
      <c r="G31">
        <v>44996769.509999998</v>
      </c>
      <c r="H31">
        <v>46528037.259999998</v>
      </c>
      <c r="I31">
        <v>1531267.75</v>
      </c>
      <c r="J31">
        <v>3.4</v>
      </c>
      <c r="K31">
        <v>19859419.780000001</v>
      </c>
      <c r="L31">
        <v>17739999.649999999</v>
      </c>
      <c r="M31">
        <v>8928617.8300000001</v>
      </c>
      <c r="N31" s="1" t="d">
        <v>2022-09-13</v>
      </c>
      <c r="O31" s="1" t="d">
        <v>2024-10-24</v>
      </c>
      <c r="P31" s="1" t="d">
        <v>2024-10-24</v>
      </c>
      <c r="Q31">
        <v>0</v>
      </c>
      <c r="R31">
        <v>49</v>
      </c>
      <c r="S31" t="s">
        <v>43</v>
      </c>
      <c r="T31" t="s">
        <v>33</v>
      </c>
    </row>
    <row r="32" spans="1:20" x14ac:dyDescent="0.2">
      <c r="A32" t="s">
        <v>108</v>
      </c>
      <c r="B32" t="s">
        <v>109</v>
      </c>
      <c r="C32" t="s">
        <v>51</v>
      </c>
      <c r="D32" t="s">
        <v>31</v>
      </c>
      <c r="E32" t="s">
        <v>24</v>
      </c>
      <c r="F32" t="s">
        <v>25</v>
      </c>
      <c r="G32">
        <v>44130102.130000003</v>
      </c>
      <c r="H32">
        <v>42361126.899999999</v>
      </c>
      <c r="I32">
        <v>-1768975.23</v>
      </c>
      <c r="J32">
        <v>-4</v>
      </c>
      <c r="K32">
        <v>17910826.920000002</v>
      </c>
      <c r="L32">
        <v>19577189.010000002</v>
      </c>
      <c r="M32">
        <v>4873110.97</v>
      </c>
      <c r="N32" s="1" t="d">
        <v>2022-12-07</v>
      </c>
      <c r="O32" s="1" t="d">
        <v>2025-05-16</v>
      </c>
      <c r="P32" s="1" t="d">
        <v>2025-08-26</v>
      </c>
      <c r="Q32">
        <v>102</v>
      </c>
      <c r="R32">
        <v>50</v>
      </c>
      <c r="S32" t="s">
        <v>26</v>
      </c>
      <c r="T32" t="s">
        <v>38</v>
      </c>
    </row>
    <row r="33" spans="1:20" x14ac:dyDescent="0.2">
      <c r="A33" t="s">
        <v>110</v>
      </c>
      <c r="B33" t="s">
        <v>111</v>
      </c>
      <c r="C33" t="s">
        <v>30</v>
      </c>
      <c r="D33" t="s">
        <v>36</v>
      </c>
      <c r="E33" t="s">
        <v>46</v>
      </c>
      <c r="F33" t="s">
        <v>25</v>
      </c>
      <c r="G33">
        <v>43672255.75</v>
      </c>
      <c r="H33">
        <v>56487324.590000004</v>
      </c>
      <c r="I33">
        <v>12815068.84</v>
      </c>
      <c r="J33">
        <v>29.3</v>
      </c>
      <c r="K33">
        <v>17569714.260000002</v>
      </c>
      <c r="L33">
        <v>25931585.25</v>
      </c>
      <c r="M33">
        <v>12986025.08</v>
      </c>
      <c r="N33" s="1" t="d">
        <v>2022-08-16</v>
      </c>
      <c r="O33" s="1" t="d">
        <v>2023-06-06</v>
      </c>
      <c r="P33" s="1" t="d">
        <v>2023-08-03</v>
      </c>
      <c r="Q33">
        <v>58</v>
      </c>
      <c r="R33">
        <v>58</v>
      </c>
      <c r="S33" t="s">
        <v>47</v>
      </c>
      <c r="T33" t="s">
        <v>27</v>
      </c>
    </row>
    <row r="34" spans="1:20" x14ac:dyDescent="0.2">
      <c r="A34" t="s">
        <v>112</v>
      </c>
      <c r="B34" t="s">
        <v>113</v>
      </c>
      <c r="C34" t="s">
        <v>22</v>
      </c>
      <c r="D34" t="s">
        <v>31</v>
      </c>
      <c r="E34" t="s">
        <v>24</v>
      </c>
      <c r="F34" t="s">
        <v>25</v>
      </c>
      <c r="G34">
        <v>20224065.940000001</v>
      </c>
      <c r="H34">
        <v>21466657.309999999</v>
      </c>
      <c r="I34">
        <v>1242591.3700000001</v>
      </c>
      <c r="J34">
        <v>6.1</v>
      </c>
      <c r="K34">
        <v>7553711.7400000002</v>
      </c>
      <c r="L34">
        <v>9357393.7100000009</v>
      </c>
      <c r="M34">
        <v>4555551.8600000003</v>
      </c>
      <c r="N34" s="1" t="d">
        <v>2022-03-13</v>
      </c>
      <c r="O34" s="1" t="d">
        <v>2024-08-10</v>
      </c>
      <c r="P34" s="1" t="d">
        <v>2024-08-10</v>
      </c>
      <c r="Q34">
        <v>0</v>
      </c>
      <c r="R34">
        <v>72</v>
      </c>
      <c r="S34" t="s">
        <v>43</v>
      </c>
      <c r="T34" t="s">
        <v>27</v>
      </c>
    </row>
    <row r="35" spans="1:20" x14ac:dyDescent="0.2">
      <c r="A35" t="s">
        <v>114</v>
      </c>
      <c r="B35" t="s">
        <v>115</v>
      </c>
      <c r="C35" t="s">
        <v>30</v>
      </c>
      <c r="D35" t="s">
        <v>61</v>
      </c>
      <c r="E35" t="s">
        <v>72</v>
      </c>
      <c r="F35" t="s">
        <v>25</v>
      </c>
      <c r="G35">
        <v>9339106.9000000004</v>
      </c>
      <c r="H35">
        <v>12467835.9</v>
      </c>
      <c r="I35">
        <v>3128729</v>
      </c>
      <c r="J35">
        <v>33.5</v>
      </c>
      <c r="K35">
        <v>3978953.01</v>
      </c>
      <c r="L35">
        <v>5701362.2599999998</v>
      </c>
      <c r="M35">
        <v>2787520.63</v>
      </c>
      <c r="N35" s="1" t="d">
        <v>2022-09-29</v>
      </c>
      <c r="O35" s="1" t="d">
        <v>2023-02-05</v>
      </c>
      <c r="P35" s="1" t="d">
        <v>2023-02-05</v>
      </c>
      <c r="Q35">
        <v>0</v>
      </c>
      <c r="R35">
        <v>95</v>
      </c>
      <c r="S35" t="s">
        <v>26</v>
      </c>
      <c r="T35" t="s">
        <v>27</v>
      </c>
    </row>
    <row r="36" spans="1:20" x14ac:dyDescent="0.2">
      <c r="A36" t="s">
        <v>116</v>
      </c>
      <c r="B36" t="s">
        <v>117</v>
      </c>
      <c r="C36" t="s">
        <v>41</v>
      </c>
      <c r="D36" t="s">
        <v>42</v>
      </c>
      <c r="E36" t="s">
        <v>32</v>
      </c>
      <c r="F36" t="s">
        <v>25</v>
      </c>
      <c r="G36">
        <v>9908899.3399999999</v>
      </c>
      <c r="H36">
        <v>9589383.0500000007</v>
      </c>
      <c r="I36">
        <v>-319516.28999999998</v>
      </c>
      <c r="J36">
        <v>-3.2</v>
      </c>
      <c r="K36">
        <v>3714653.02</v>
      </c>
      <c r="L36">
        <v>4680123.5599999996</v>
      </c>
      <c r="M36">
        <v>1194606.47</v>
      </c>
      <c r="N36" s="1" t="d">
        <v>2023-03-23</v>
      </c>
      <c r="O36" s="1" t="d">
        <v>2023-06-22</v>
      </c>
      <c r="P36" s="1" t="d">
        <v>2023-10-03</v>
      </c>
      <c r="Q36">
        <v>103</v>
      </c>
      <c r="R36">
        <v>55</v>
      </c>
      <c r="S36" t="s">
        <v>43</v>
      </c>
      <c r="T36" t="s">
        <v>48</v>
      </c>
    </row>
    <row r="37" spans="1:20" x14ac:dyDescent="0.2">
      <c r="A37" t="s">
        <v>118</v>
      </c>
      <c r="B37" t="s">
        <v>119</v>
      </c>
      <c r="C37" t="s">
        <v>41</v>
      </c>
      <c r="D37" t="s">
        <v>23</v>
      </c>
      <c r="E37" t="s">
        <v>24</v>
      </c>
      <c r="F37" t="s">
        <v>25</v>
      </c>
      <c r="G37">
        <v>47469287.060000002</v>
      </c>
      <c r="H37">
        <v>62579157.140000001</v>
      </c>
      <c r="I37">
        <v>15109870.08</v>
      </c>
      <c r="J37">
        <v>31.8</v>
      </c>
      <c r="K37">
        <v>26909623.75</v>
      </c>
      <c r="L37">
        <v>25120806.920000002</v>
      </c>
      <c r="M37">
        <v>10548726.470000001</v>
      </c>
      <c r="N37" s="1" t="d">
        <v>2023-10-01</v>
      </c>
      <c r="O37" s="1" t="d">
        <v>2024-11-15</v>
      </c>
      <c r="P37" s="1" t="d">
        <v>2024-11-30</v>
      </c>
      <c r="Q37">
        <v>15</v>
      </c>
      <c r="R37">
        <v>82</v>
      </c>
      <c r="S37" t="s">
        <v>43</v>
      </c>
      <c r="T37" t="s">
        <v>48</v>
      </c>
    </row>
    <row r="38" spans="1:20" x14ac:dyDescent="0.2">
      <c r="A38" t="s">
        <v>120</v>
      </c>
      <c r="B38" t="s">
        <v>121</v>
      </c>
      <c r="C38" t="s">
        <v>41</v>
      </c>
      <c r="D38" t="s">
        <v>52</v>
      </c>
      <c r="E38" t="s">
        <v>24</v>
      </c>
      <c r="F38" t="s">
        <v>25</v>
      </c>
      <c r="G38">
        <v>15134932.529999999</v>
      </c>
      <c r="H38">
        <v>15148782.800000001</v>
      </c>
      <c r="I38">
        <v>13850.27</v>
      </c>
      <c r="J38">
        <v>0.1</v>
      </c>
      <c r="K38">
        <v>6522476.7199999997</v>
      </c>
      <c r="L38">
        <v>6409495.1900000004</v>
      </c>
      <c r="M38">
        <v>2216810.89</v>
      </c>
      <c r="N38" s="1" t="d">
        <v>2023-03-07</v>
      </c>
      <c r="O38" s="1" t="d">
        <v>2025-04-15</v>
      </c>
      <c r="P38" s="1" t="d">
        <v>2025-07-10</v>
      </c>
      <c r="Q38">
        <v>86</v>
      </c>
      <c r="R38">
        <v>81</v>
      </c>
      <c r="S38" t="s">
        <v>26</v>
      </c>
      <c r="T38" t="s">
        <v>58</v>
      </c>
    </row>
    <row r="39" spans="1:20" x14ac:dyDescent="0.2">
      <c r="A39" t="s">
        <v>122</v>
      </c>
      <c r="B39" t="s">
        <v>123</v>
      </c>
      <c r="C39" t="s">
        <v>30</v>
      </c>
      <c r="D39" t="s">
        <v>61</v>
      </c>
      <c r="E39" t="s">
        <v>72</v>
      </c>
      <c r="F39" t="s">
        <v>25</v>
      </c>
      <c r="G39">
        <v>14702228.99</v>
      </c>
      <c r="H39">
        <v>16495243.15</v>
      </c>
      <c r="I39">
        <v>1793014.16</v>
      </c>
      <c r="J39">
        <v>12.2</v>
      </c>
      <c r="K39">
        <v>5582517.4699999997</v>
      </c>
      <c r="L39">
        <v>5653584.2599999998</v>
      </c>
      <c r="M39">
        <v>5259141.42</v>
      </c>
      <c r="N39" s="1" t="d">
        <v>2023-08-17</v>
      </c>
      <c r="O39" s="1" t="d">
        <v>2025-07-28</v>
      </c>
      <c r="P39" s="1" t="d">
        <v>2025-09-25</v>
      </c>
      <c r="Q39">
        <v>59</v>
      </c>
      <c r="R39">
        <v>51</v>
      </c>
      <c r="S39" t="s">
        <v>26</v>
      </c>
      <c r="T39" t="s">
        <v>38</v>
      </c>
    </row>
    <row r="40" spans="1:20" x14ac:dyDescent="0.2">
      <c r="A40" t="s">
        <v>124</v>
      </c>
      <c r="B40" t="s">
        <v>125</v>
      </c>
      <c r="C40" t="s">
        <v>30</v>
      </c>
      <c r="D40" t="s">
        <v>61</v>
      </c>
      <c r="E40" t="s">
        <v>57</v>
      </c>
      <c r="F40" t="s">
        <v>25</v>
      </c>
      <c r="G40">
        <v>26014874.489999998</v>
      </c>
      <c r="H40">
        <v>31300481.530000001</v>
      </c>
      <c r="I40">
        <v>5285607.04</v>
      </c>
      <c r="J40">
        <v>20.3</v>
      </c>
      <c r="K40">
        <v>12036886.07</v>
      </c>
      <c r="L40">
        <v>10796416.66</v>
      </c>
      <c r="M40">
        <v>8467178.8000000007</v>
      </c>
      <c r="N40" s="1" t="d">
        <v>2022-12-10</v>
      </c>
      <c r="O40" s="1" t="d">
        <v>2023-06-13</v>
      </c>
      <c r="P40" s="1" t="d">
        <v>2023-09-17</v>
      </c>
      <c r="Q40">
        <v>96</v>
      </c>
      <c r="R40">
        <v>48</v>
      </c>
      <c r="S40" t="s">
        <v>47</v>
      </c>
      <c r="T40" t="s">
        <v>27</v>
      </c>
    </row>
    <row r="41" spans="1:20" x14ac:dyDescent="0.2">
      <c r="A41" t="s">
        <v>126</v>
      </c>
      <c r="B41" t="s">
        <v>127</v>
      </c>
      <c r="C41" t="s">
        <v>30</v>
      </c>
      <c r="D41" t="s">
        <v>31</v>
      </c>
      <c r="E41" t="s">
        <v>32</v>
      </c>
      <c r="F41" t="s">
        <v>25</v>
      </c>
      <c r="G41">
        <v>49204833.130000003</v>
      </c>
      <c r="H41">
        <v>58775645.009999998</v>
      </c>
      <c r="I41">
        <v>9570811.8800000008</v>
      </c>
      <c r="J41">
        <v>19.5</v>
      </c>
      <c r="K41">
        <v>16979522.539999999</v>
      </c>
      <c r="L41">
        <v>25818427.550000001</v>
      </c>
      <c r="M41">
        <v>15977694.92</v>
      </c>
      <c r="N41" s="1" t="d">
        <v>2022-03-16</v>
      </c>
      <c r="O41" s="1" t="d">
        <v>2023-09-23</v>
      </c>
      <c r="P41" s="1" t="d">
        <v>2023-12-12</v>
      </c>
      <c r="Q41">
        <v>80</v>
      </c>
      <c r="R41">
        <v>81</v>
      </c>
      <c r="S41" t="s">
        <v>26</v>
      </c>
      <c r="T41" t="s">
        <v>33</v>
      </c>
    </row>
    <row r="42" spans="1:20" x14ac:dyDescent="0.2">
      <c r="A42" t="s">
        <v>128</v>
      </c>
      <c r="B42" t="s">
        <v>129</v>
      </c>
      <c r="C42" t="s">
        <v>51</v>
      </c>
      <c r="D42" t="s">
        <v>52</v>
      </c>
      <c r="E42" t="s">
        <v>24</v>
      </c>
      <c r="F42" t="s">
        <v>25</v>
      </c>
      <c r="G42">
        <v>34537309.450000003</v>
      </c>
      <c r="H42">
        <v>45142471.439999998</v>
      </c>
      <c r="I42">
        <v>10605161.99</v>
      </c>
      <c r="J42">
        <v>30.7</v>
      </c>
      <c r="K42">
        <v>15961996.449999999</v>
      </c>
      <c r="L42">
        <v>13996137.84</v>
      </c>
      <c r="M42">
        <v>15184337.15</v>
      </c>
      <c r="N42" s="1" t="d">
        <v>2022-04-20</v>
      </c>
      <c r="O42" s="1" t="d">
        <v>2024-09-23</v>
      </c>
      <c r="P42" s="1" t="d">
        <v>2024-10-15</v>
      </c>
      <c r="Q42">
        <v>22</v>
      </c>
      <c r="R42">
        <v>45</v>
      </c>
      <c r="S42" t="s">
        <v>47</v>
      </c>
      <c r="T42" t="s">
        <v>75</v>
      </c>
    </row>
    <row r="43" spans="1:20" x14ac:dyDescent="0.2">
      <c r="A43" t="s">
        <v>130</v>
      </c>
      <c r="B43" t="s">
        <v>131</v>
      </c>
      <c r="C43" t="s">
        <v>51</v>
      </c>
      <c r="D43" t="s">
        <v>36</v>
      </c>
      <c r="E43" t="s">
        <v>72</v>
      </c>
      <c r="F43" t="s">
        <v>25</v>
      </c>
      <c r="G43">
        <v>33545097.760000002</v>
      </c>
      <c r="H43">
        <v>45123422.439999998</v>
      </c>
      <c r="I43">
        <v>11578324.68</v>
      </c>
      <c r="J43">
        <v>34.5</v>
      </c>
      <c r="K43">
        <v>16809849.52</v>
      </c>
      <c r="L43">
        <v>20028247.289999999</v>
      </c>
      <c r="M43">
        <v>8285325.6299999999</v>
      </c>
      <c r="N43" s="1" t="d">
        <v>2023-09-02</v>
      </c>
      <c r="O43" s="1" t="d">
        <v>2024-10-20</v>
      </c>
      <c r="P43" s="1" t="d">
        <v>2025-02-11</v>
      </c>
      <c r="Q43">
        <v>114</v>
      </c>
      <c r="R43">
        <v>84</v>
      </c>
      <c r="S43" t="s">
        <v>43</v>
      </c>
      <c r="T43" t="s">
        <v>58</v>
      </c>
    </row>
    <row r="44" spans="1:20" x14ac:dyDescent="0.2">
      <c r="A44" t="s">
        <v>132</v>
      </c>
      <c r="B44" t="s">
        <v>133</v>
      </c>
      <c r="C44" t="s">
        <v>41</v>
      </c>
      <c r="D44" t="s">
        <v>31</v>
      </c>
      <c r="E44" t="s">
        <v>24</v>
      </c>
      <c r="F44" t="s">
        <v>25</v>
      </c>
      <c r="G44">
        <v>37310944.390000001</v>
      </c>
      <c r="H44">
        <v>42529617.780000001</v>
      </c>
      <c r="I44">
        <v>5218673.3899999997</v>
      </c>
      <c r="J44">
        <v>14</v>
      </c>
      <c r="K44">
        <v>12991193.619999999</v>
      </c>
      <c r="L44">
        <v>19373728.030000001</v>
      </c>
      <c r="M44">
        <v>10164696.130000001</v>
      </c>
      <c r="N44" s="1" t="d">
        <v>2022-09-23</v>
      </c>
      <c r="O44" s="1" t="d">
        <v>2025-01-29</v>
      </c>
      <c r="P44" s="1" t="d">
        <v>2025-01-29</v>
      </c>
      <c r="Q44">
        <v>0</v>
      </c>
      <c r="R44">
        <v>60</v>
      </c>
      <c r="S44" t="s">
        <v>26</v>
      </c>
      <c r="T44" t="s">
        <v>48</v>
      </c>
    </row>
    <row r="45" spans="1:20" x14ac:dyDescent="0.2">
      <c r="A45" t="s">
        <v>134</v>
      </c>
      <c r="B45" t="s">
        <v>135</v>
      </c>
      <c r="C45" t="s">
        <v>41</v>
      </c>
      <c r="D45" t="s">
        <v>23</v>
      </c>
      <c r="E45" t="s">
        <v>57</v>
      </c>
      <c r="F45" t="s">
        <v>25</v>
      </c>
      <c r="G45">
        <v>35820470.700000003</v>
      </c>
      <c r="H45">
        <v>37389315.299999997</v>
      </c>
      <c r="I45">
        <v>1568844.6</v>
      </c>
      <c r="J45">
        <v>4.4000000000000004</v>
      </c>
      <c r="K45">
        <v>10475219.83</v>
      </c>
      <c r="L45">
        <v>14081080.050000001</v>
      </c>
      <c r="M45">
        <v>12833015.42</v>
      </c>
      <c r="N45" s="1" t="d">
        <v>2022-12-10</v>
      </c>
      <c r="O45" s="1" t="d">
        <v>2024-01-31</v>
      </c>
      <c r="P45" s="1" t="d">
        <v>2024-02-10</v>
      </c>
      <c r="Q45">
        <v>10</v>
      </c>
      <c r="R45">
        <v>57</v>
      </c>
      <c r="S45" t="s">
        <v>47</v>
      </c>
      <c r="T45" t="s">
        <v>27</v>
      </c>
    </row>
    <row r="46" spans="1:20" x14ac:dyDescent="0.2">
      <c r="A46" t="s">
        <v>136</v>
      </c>
      <c r="B46" t="s">
        <v>137</v>
      </c>
      <c r="C46" t="s">
        <v>41</v>
      </c>
      <c r="D46" t="s">
        <v>36</v>
      </c>
      <c r="E46" t="s">
        <v>32</v>
      </c>
      <c r="F46" t="s">
        <v>25</v>
      </c>
      <c r="G46">
        <v>16878628.859999999</v>
      </c>
      <c r="H46">
        <v>19180362.77</v>
      </c>
      <c r="I46">
        <v>2301733.91</v>
      </c>
      <c r="J46">
        <v>13.6</v>
      </c>
      <c r="K46">
        <v>8424253.2899999991</v>
      </c>
      <c r="L46">
        <v>5829034.8300000001</v>
      </c>
      <c r="M46">
        <v>4927074.6500000004</v>
      </c>
      <c r="N46" s="1" t="d">
        <v>2022-03-05</v>
      </c>
      <c r="O46" s="1" t="d">
        <v>2022-12-31</v>
      </c>
      <c r="P46" s="1" t="d">
        <v>2023-02-18</v>
      </c>
      <c r="Q46">
        <v>49</v>
      </c>
      <c r="R46">
        <v>78</v>
      </c>
      <c r="S46" t="s">
        <v>43</v>
      </c>
      <c r="T46" t="s">
        <v>75</v>
      </c>
    </row>
    <row r="47" spans="1:20" x14ac:dyDescent="0.2">
      <c r="A47" t="s">
        <v>138</v>
      </c>
      <c r="B47" t="s">
        <v>139</v>
      </c>
      <c r="C47" t="s">
        <v>30</v>
      </c>
      <c r="D47" t="s">
        <v>61</v>
      </c>
      <c r="E47" t="s">
        <v>32</v>
      </c>
      <c r="F47" t="s">
        <v>25</v>
      </c>
      <c r="G47">
        <v>15281326.289999999</v>
      </c>
      <c r="H47">
        <v>16901065.260000002</v>
      </c>
      <c r="I47">
        <v>1619738.97</v>
      </c>
      <c r="J47">
        <v>10.6</v>
      </c>
      <c r="K47">
        <v>7260059.9500000002</v>
      </c>
      <c r="L47">
        <v>6720639.2300000004</v>
      </c>
      <c r="M47">
        <v>2920366.0800000001</v>
      </c>
      <c r="N47" s="1" t="d">
        <v>2023-03-06</v>
      </c>
      <c r="O47" s="1" t="d">
        <v>2024-12-06</v>
      </c>
      <c r="P47" s="1" t="d">
        <v>2025-02-13</v>
      </c>
      <c r="Q47">
        <v>69</v>
      </c>
      <c r="R47">
        <v>85</v>
      </c>
      <c r="S47" t="s">
        <v>26</v>
      </c>
      <c r="T47" t="s">
        <v>75</v>
      </c>
    </row>
    <row r="48" spans="1:20" x14ac:dyDescent="0.2">
      <c r="A48" t="s">
        <v>140</v>
      </c>
      <c r="B48" t="s">
        <v>141</v>
      </c>
      <c r="C48" t="s">
        <v>30</v>
      </c>
      <c r="D48" t="s">
        <v>36</v>
      </c>
      <c r="E48" t="s">
        <v>72</v>
      </c>
      <c r="F48" t="s">
        <v>25</v>
      </c>
      <c r="G48">
        <v>17138412.41</v>
      </c>
      <c r="H48">
        <v>20937257.27</v>
      </c>
      <c r="I48">
        <v>3798844.86</v>
      </c>
      <c r="J48">
        <v>22.2</v>
      </c>
      <c r="K48">
        <v>9084850.2100000009</v>
      </c>
      <c r="L48">
        <v>10387902.85</v>
      </c>
      <c r="M48">
        <v>1464504.21</v>
      </c>
      <c r="N48" s="1" t="d">
        <v>2023-02-19</v>
      </c>
      <c r="O48" s="1" t="d">
        <v>2025-05-30</v>
      </c>
      <c r="P48" s="1" t="d">
        <v>2025-05-30</v>
      </c>
      <c r="Q48">
        <v>0</v>
      </c>
      <c r="R48">
        <v>33</v>
      </c>
      <c r="S48" t="s">
        <v>43</v>
      </c>
      <c r="T48" t="s">
        <v>75</v>
      </c>
    </row>
    <row r="49" spans="1:20" x14ac:dyDescent="0.2">
      <c r="A49" t="s">
        <v>142</v>
      </c>
      <c r="B49" t="s">
        <v>143</v>
      </c>
      <c r="C49" t="s">
        <v>69</v>
      </c>
      <c r="D49" t="s">
        <v>42</v>
      </c>
      <c r="E49" t="s">
        <v>37</v>
      </c>
      <c r="F49" t="s">
        <v>25</v>
      </c>
      <c r="G49">
        <v>33318487.960000001</v>
      </c>
      <c r="H49">
        <v>32771364.559999999</v>
      </c>
      <c r="I49">
        <v>-547123.4</v>
      </c>
      <c r="J49">
        <v>-1.6</v>
      </c>
      <c r="K49">
        <v>9897976.6199999992</v>
      </c>
      <c r="L49">
        <v>11976968.09</v>
      </c>
      <c r="M49">
        <v>10896419.85</v>
      </c>
      <c r="N49" s="1" t="d">
        <v>2023-03-15</v>
      </c>
      <c r="O49" s="1" t="d">
        <v>2023-10-29</v>
      </c>
      <c r="P49" s="1" t="d">
        <v>2023-11-21</v>
      </c>
      <c r="Q49">
        <v>23</v>
      </c>
      <c r="R49">
        <v>71</v>
      </c>
      <c r="S49" t="s">
        <v>26</v>
      </c>
      <c r="T49" t="s">
        <v>48</v>
      </c>
    </row>
    <row r="50" spans="1:20" x14ac:dyDescent="0.2">
      <c r="A50" t="s">
        <v>144</v>
      </c>
      <c r="B50" t="s">
        <v>145</v>
      </c>
      <c r="C50" t="s">
        <v>41</v>
      </c>
      <c r="D50" t="s">
        <v>61</v>
      </c>
      <c r="E50" t="s">
        <v>32</v>
      </c>
      <c r="F50" t="s">
        <v>25</v>
      </c>
      <c r="G50">
        <v>37724486.270000003</v>
      </c>
      <c r="H50">
        <v>48391828.469999999</v>
      </c>
      <c r="I50">
        <v>10667342.199999999</v>
      </c>
      <c r="J50">
        <v>28.3</v>
      </c>
      <c r="K50">
        <v>12602060.68</v>
      </c>
      <c r="L50">
        <v>23730575.440000001</v>
      </c>
      <c r="M50">
        <v>12059192.35</v>
      </c>
      <c r="N50" s="1" t="d">
        <v>2022-09-16</v>
      </c>
      <c r="O50" s="1" t="d">
        <v>2023-03-08</v>
      </c>
      <c r="P50" s="1" t="d">
        <v>2023-06-11</v>
      </c>
      <c r="Q50">
        <v>95</v>
      </c>
      <c r="R50">
        <v>38</v>
      </c>
      <c r="S50" t="s">
        <v>47</v>
      </c>
      <c r="T50" t="s">
        <v>38</v>
      </c>
    </row>
    <row r="51" spans="1:20" x14ac:dyDescent="0.2">
      <c r="A51" t="s">
        <v>146</v>
      </c>
      <c r="B51" t="s">
        <v>147</v>
      </c>
      <c r="C51" t="s">
        <v>30</v>
      </c>
      <c r="D51" t="s">
        <v>23</v>
      </c>
      <c r="E51" t="s">
        <v>57</v>
      </c>
      <c r="F51" t="s">
        <v>25</v>
      </c>
      <c r="G51">
        <v>47505780.770000003</v>
      </c>
      <c r="H51">
        <v>48918805.68</v>
      </c>
      <c r="I51">
        <v>1413024.91</v>
      </c>
      <c r="J51">
        <v>3</v>
      </c>
      <c r="K51">
        <v>16862909.719999999</v>
      </c>
      <c r="L51">
        <v>15794800.720000001</v>
      </c>
      <c r="M51">
        <v>16261095.24</v>
      </c>
      <c r="N51" s="1" t="d">
        <v>2022-01-21</v>
      </c>
      <c r="O51" s="1" t="d">
        <v>2024-01-17</v>
      </c>
      <c r="P51" s="1" t="d">
        <v>2024-01-17</v>
      </c>
      <c r="Q51">
        <v>0</v>
      </c>
      <c r="R51">
        <v>89</v>
      </c>
      <c r="S51" t="s">
        <v>47</v>
      </c>
      <c r="T51" t="s">
        <v>38</v>
      </c>
    </row>
  </sheetData>
  <pageMargins left="0.75" right="0.75" top="1" bottom="1" header="0.5" footer="0.5"/>
  <headerFooter alignWithMargins="0"/>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275D-9414-0641-8B1A-BFE2A8FDAD06}">
  <dimension ref="A3:C11"/>
  <sheetViews>
    <sheetView workbookViewId="0">
      <selection activeCell="B6" sqref="B6"/>
    </sheetView>
  </sheetViews>
  <sheetFormatPr baseColWidth="10" defaultRowHeight="16" x14ac:dyDescent="0.2"/>
  <cols>
    <col min="1" max="1" width="21" bestFit="1" customWidth="1"/>
    <col min="2" max="2" width="31" bestFit="1" customWidth="1"/>
    <col min="3" max="3" width="21.5" bestFit="1" customWidth="1"/>
  </cols>
  <sheetData>
    <row r="3" spans="1:3" x14ac:dyDescent="0.2">
      <c r="A3" s="2"/>
      <c r="B3" s="5" t="s">
        <v>153</v>
      </c>
      <c r="C3" s="4"/>
    </row>
    <row r="4" spans="1:3" x14ac:dyDescent="0.2">
      <c r="A4" s="5" t="s">
        <v>2</v>
      </c>
      <c r="B4" s="2" t="s">
        <v>149</v>
      </c>
      <c r="C4" s="9" t="s">
        <v>152</v>
      </c>
    </row>
    <row r="5" spans="1:3" x14ac:dyDescent="0.2">
      <c r="A5" s="2" t="s">
        <v>51</v>
      </c>
      <c r="B5" s="10">
        <v>190748764.94</v>
      </c>
      <c r="C5" s="11">
        <v>225828666.56</v>
      </c>
    </row>
    <row r="6" spans="1:3" x14ac:dyDescent="0.2">
      <c r="A6" s="6" t="s">
        <v>41</v>
      </c>
      <c r="B6" s="12">
        <v>264688639.39000002</v>
      </c>
      <c r="C6" s="13">
        <v>313443270.71000004</v>
      </c>
    </row>
    <row r="7" spans="1:3" x14ac:dyDescent="0.2">
      <c r="A7" s="6" t="s">
        <v>66</v>
      </c>
      <c r="B7" s="12">
        <v>75359960.929999992</v>
      </c>
      <c r="C7" s="13">
        <v>78082709.319999993</v>
      </c>
    </row>
    <row r="8" spans="1:3" x14ac:dyDescent="0.2">
      <c r="A8" s="6" t="s">
        <v>69</v>
      </c>
      <c r="B8" s="12">
        <v>117368577.47</v>
      </c>
      <c r="C8" s="13">
        <v>123126009.53</v>
      </c>
    </row>
    <row r="9" spans="1:3" x14ac:dyDescent="0.2">
      <c r="A9" s="6" t="s">
        <v>30</v>
      </c>
      <c r="B9" s="12">
        <v>372813960.31000006</v>
      </c>
      <c r="C9" s="13">
        <v>435449573.99000001</v>
      </c>
    </row>
    <row r="10" spans="1:3" x14ac:dyDescent="0.2">
      <c r="A10" s="6" t="s">
        <v>22</v>
      </c>
      <c r="B10" s="12">
        <v>192257661.38</v>
      </c>
      <c r="C10" s="13">
        <v>216880603.60000002</v>
      </c>
    </row>
    <row r="11" spans="1:3" x14ac:dyDescent="0.2">
      <c r="A11" s="7" t="s">
        <v>148</v>
      </c>
      <c r="B11" s="14">
        <v>1213237564.4200001</v>
      </c>
      <c r="C11" s="15">
        <v>1392810833.71</v>
      </c>
    </row>
  </sheetData>
  <pageMargins left="0.7" right="0.7" top="0.75" bottom="0.75" header="0.3" footer="0.3"/>
  <drawing r:id="rId2"/>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01FF8-982B-C742-860E-7A604BFD276C}">
  <dimension ref="A3:B11"/>
  <sheetViews>
    <sheetView workbookViewId="0">
      <selection activeCell="A7" sqref="A7"/>
    </sheetView>
  </sheetViews>
  <sheetFormatPr baseColWidth="10" defaultRowHeight="16" x14ac:dyDescent="0.2"/>
  <cols>
    <col min="1" max="1" width="25.33203125" bestFit="1" customWidth="1"/>
    <col min="2" max="2" width="12.1640625" bestFit="1" customWidth="1"/>
  </cols>
  <sheetData>
    <row r="3" spans="1:2" x14ac:dyDescent="0.2">
      <c r="A3" s="5" t="s">
        <v>154</v>
      </c>
      <c r="B3" s="8"/>
    </row>
    <row r="4" spans="1:2" x14ac:dyDescent="0.2">
      <c r="A4" s="5" t="s">
        <v>3</v>
      </c>
      <c r="B4" s="8" t="s">
        <v>150</v>
      </c>
    </row>
    <row r="5" spans="1:2" x14ac:dyDescent="0.2">
      <c r="A5" s="2" t="s">
        <v>61</v>
      </c>
      <c r="B5" s="28">
        <v>20.62857142857143</v>
      </c>
    </row>
    <row r="6" spans="1:2" x14ac:dyDescent="0.2">
      <c r="A6" s="6" t="s">
        <v>42</v>
      </c>
      <c r="B6" s="29">
        <v>11.112500000000001</v>
      </c>
    </row>
    <row r="7" spans="1:2" x14ac:dyDescent="0.2">
      <c r="A7" s="6" t="s">
        <v>31</v>
      </c>
      <c r="B7" s="29">
        <v>10.940000000000001</v>
      </c>
    </row>
    <row r="8" spans="1:2" x14ac:dyDescent="0.2">
      <c r="A8" s="6" t="s">
        <v>52</v>
      </c>
      <c r="B8" s="29">
        <v>14.329999999999998</v>
      </c>
    </row>
    <row r="9" spans="1:2" x14ac:dyDescent="0.2">
      <c r="A9" s="6" t="s">
        <v>23</v>
      </c>
      <c r="B9" s="29">
        <v>14.970000000000002</v>
      </c>
    </row>
    <row r="10" spans="1:2" x14ac:dyDescent="0.2">
      <c r="A10" s="6" t="s">
        <v>36</v>
      </c>
      <c r="B10" s="29">
        <v>21.04</v>
      </c>
    </row>
    <row r="11" spans="1:2" x14ac:dyDescent="0.2">
      <c r="A11" s="7" t="s">
        <v>148</v>
      </c>
      <c r="B11" s="30">
        <v>15.827999999999999</v>
      </c>
    </row>
  </sheetData>
  <pageMargins left="0.7" right="0.7" top="0.75" bottom="0.75" header="0.3" footer="0.3"/>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24843-B15F-634C-BC7F-96A25B1EFDAD}">
  <dimension ref="A3:B6"/>
  <sheetViews>
    <sheetView topLeftCell="A2" workbookViewId="0">
      <selection activeCell="A6" sqref="A6"/>
    </sheetView>
  </sheetViews>
  <sheetFormatPr baseColWidth="10" defaultRowHeight="16" x14ac:dyDescent="0.2"/>
  <cols>
    <col min="1" max="1" width="17" bestFit="1" customWidth="1"/>
    <col min="2" max="2" width="5.1640625" bestFit="1" customWidth="1"/>
    <col min="3" max="3" width="10.5" bestFit="1" customWidth="1"/>
  </cols>
  <sheetData>
    <row r="3" spans="1:2" x14ac:dyDescent="0.2">
      <c r="A3" s="5" t="s">
        <v>155</v>
      </c>
      <c r="B3" s="8"/>
    </row>
    <row r="4" spans="1:2" x14ac:dyDescent="0.2">
      <c r="A4" s="5" t="s">
        <v>5</v>
      </c>
      <c r="B4" s="8" t="s">
        <v>150</v>
      </c>
    </row>
    <row r="5" spans="1:2" x14ac:dyDescent="0.2">
      <c r="A5" s="2" t="s">
        <v>25</v>
      </c>
      <c r="B5" s="28">
        <v>50</v>
      </c>
    </row>
    <row r="6" spans="1:2" x14ac:dyDescent="0.2">
      <c r="A6" s="7" t="s">
        <v>148</v>
      </c>
      <c r="B6" s="30">
        <v>50</v>
      </c>
    </row>
  </sheetData>
  <pageMargins left="0.7" right="0.7" top="0.75" bottom="0.75" header="0.3" footer="0.3"/>
  <drawing r:id="rId2"/>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8AEF-E7C5-7A43-BFC7-EFBA02F2367D}">
  <dimension ref="A3:D11"/>
  <sheetViews>
    <sheetView workbookViewId="0">
      <selection activeCell="A6" sqref="A6"/>
    </sheetView>
  </sheetViews>
  <sheetFormatPr baseColWidth="10" defaultRowHeight="16" x14ac:dyDescent="0.2"/>
  <cols>
    <col min="1" max="1" width="21" bestFit="1" customWidth="1"/>
    <col min="2" max="2" width="20.6640625" bestFit="1" customWidth="1"/>
    <col min="3" max="3" width="23.1640625" bestFit="1" customWidth="1"/>
    <col min="4" max="4" width="28.1640625" bestFit="1" customWidth="1"/>
  </cols>
  <sheetData>
    <row r="3" spans="1:4" x14ac:dyDescent="0.2">
      <c r="A3" s="2"/>
      <c r="B3" s="5" t="s">
        <v>151</v>
      </c>
      <c r="C3" s="3"/>
      <c r="D3" s="4"/>
    </row>
    <row r="4" spans="1:4" x14ac:dyDescent="0.2">
      <c r="A4" s="5" t="s">
        <v>2</v>
      </c>
      <c r="B4" s="2" t="s">
        <v>156</v>
      </c>
      <c r="C4" s="16" t="s">
        <v>157</v>
      </c>
      <c r="D4" s="9" t="s">
        <v>158</v>
      </c>
    </row>
    <row r="5" spans="1:4" x14ac:dyDescent="0.2">
      <c r="A5" s="2" t="s">
        <v>51</v>
      </c>
      <c r="B5" s="22">
        <v>84570049.780000001</v>
      </c>
      <c r="C5" s="31">
        <v>94417332.950000018</v>
      </c>
      <c r="D5" s="23">
        <v>46841283.829999998</v>
      </c>
    </row>
    <row r="6" spans="1:4" x14ac:dyDescent="0.2">
      <c r="A6" s="6" t="s">
        <v>41</v>
      </c>
      <c r="B6" s="24">
        <v>108205778.11000001</v>
      </c>
      <c r="C6" s="32">
        <v>132330439.03</v>
      </c>
      <c r="D6" s="25">
        <v>72907053.570000008</v>
      </c>
    </row>
    <row r="7" spans="1:4" x14ac:dyDescent="0.2">
      <c r="A7" s="6" t="s">
        <v>66</v>
      </c>
      <c r="B7" s="24">
        <v>32232648.109999999</v>
      </c>
      <c r="C7" s="32">
        <v>31407150.379999995</v>
      </c>
      <c r="D7" s="25">
        <v>14442910.83</v>
      </c>
    </row>
    <row r="8" spans="1:4" x14ac:dyDescent="0.2">
      <c r="A8" s="6" t="s">
        <v>69</v>
      </c>
      <c r="B8" s="24">
        <v>45773197.409999996</v>
      </c>
      <c r="C8" s="32">
        <v>51582182.710000008</v>
      </c>
      <c r="D8" s="25">
        <v>25770629.41</v>
      </c>
    </row>
    <row r="9" spans="1:4" x14ac:dyDescent="0.2">
      <c r="A9" s="6" t="s">
        <v>30</v>
      </c>
      <c r="B9" s="24">
        <v>148163804.56</v>
      </c>
      <c r="C9" s="32">
        <v>174563790.66</v>
      </c>
      <c r="D9" s="25">
        <v>112721978.76999998</v>
      </c>
    </row>
    <row r="10" spans="1:4" x14ac:dyDescent="0.2">
      <c r="A10" s="6" t="s">
        <v>22</v>
      </c>
      <c r="B10" s="24">
        <v>83815191.609999999</v>
      </c>
      <c r="C10" s="32">
        <v>88725096.340000004</v>
      </c>
      <c r="D10" s="25">
        <v>44340315.649999999</v>
      </c>
    </row>
    <row r="11" spans="1:4" x14ac:dyDescent="0.2">
      <c r="A11" s="7" t="s">
        <v>148</v>
      </c>
      <c r="B11" s="26">
        <v>502760669.57999998</v>
      </c>
      <c r="C11" s="33">
        <v>573025992.07000005</v>
      </c>
      <c r="D11" s="27">
        <v>317024172.05999994</v>
      </c>
    </row>
  </sheetData>
  <pageMargins left="0.7" right="0.7" top="0.75" bottom="0.75" header="0.3" footer="0.3"/>
  <drawing r:id="rId2"/>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005CF-E248-5B48-8EFE-04588C9DB31A}">
  <dimension ref="A3:B11"/>
  <sheetViews>
    <sheetView workbookViewId="0">
      <selection activeCell="B8" sqref="B8"/>
    </sheetView>
  </sheetViews>
  <sheetFormatPr baseColWidth="10" defaultRowHeight="16" x14ac:dyDescent="0.2"/>
  <cols>
    <col min="1" max="1" width="21" bestFit="1" customWidth="1"/>
    <col min="2" max="2" width="12.1640625" bestFit="1" customWidth="1"/>
  </cols>
  <sheetData>
    <row r="3" spans="1:2" x14ac:dyDescent="0.2">
      <c r="A3" s="5" t="s">
        <v>159</v>
      </c>
      <c r="B3" s="8"/>
    </row>
    <row r="4" spans="1:2" x14ac:dyDescent="0.2">
      <c r="A4" s="5" t="s">
        <v>2</v>
      </c>
      <c r="B4" s="8" t="s">
        <v>150</v>
      </c>
    </row>
    <row r="5" spans="1:2" x14ac:dyDescent="0.2">
      <c r="A5" s="2" t="s">
        <v>51</v>
      </c>
      <c r="B5" s="28">
        <v>53.714285714285715</v>
      </c>
    </row>
    <row r="6" spans="1:2" x14ac:dyDescent="0.2">
      <c r="A6" s="6" t="s">
        <v>41</v>
      </c>
      <c r="B6" s="29">
        <v>32.545454545454547</v>
      </c>
    </row>
    <row r="7" spans="1:2" x14ac:dyDescent="0.2">
      <c r="A7" s="6" t="s">
        <v>66</v>
      </c>
      <c r="B7" s="29">
        <v>8.25</v>
      </c>
    </row>
    <row r="8" spans="1:2" x14ac:dyDescent="0.2">
      <c r="A8" s="6" t="s">
        <v>69</v>
      </c>
      <c r="B8" s="29">
        <v>35.25</v>
      </c>
    </row>
    <row r="9" spans="1:2" x14ac:dyDescent="0.2">
      <c r="A9" s="6" t="s">
        <v>30</v>
      </c>
      <c r="B9" s="29">
        <v>47.733333333333334</v>
      </c>
    </row>
    <row r="10" spans="1:2" x14ac:dyDescent="0.2">
      <c r="A10" s="6" t="s">
        <v>22</v>
      </c>
      <c r="B10" s="29">
        <v>24</v>
      </c>
    </row>
    <row r="11" spans="1:2" x14ac:dyDescent="0.2">
      <c r="A11" s="7" t="s">
        <v>148</v>
      </c>
      <c r="B11" s="30">
        <v>36.799999999999997</v>
      </c>
    </row>
  </sheetData>
  <pageMargins left="0.7" right="0.7" top="0.75" bottom="0.75" header="0.3" footer="0.3"/>
  <drawing r:id="rId2"/>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10C68-9FE0-264A-BE7F-B47E4E8C20D2}">
  <dimension ref="A3:C8"/>
  <sheetViews>
    <sheetView workbookViewId="0">
      <selection activeCell="C6" sqref="C6"/>
    </sheetView>
  </sheetViews>
  <sheetFormatPr baseColWidth="10" defaultRowHeight="16" x14ac:dyDescent="0.2"/>
  <cols>
    <col min="1" max="1" width="12" bestFit="1" customWidth="1"/>
    <col min="2" max="2" width="17" bestFit="1" customWidth="1"/>
    <col min="3" max="3" width="25.33203125" bestFit="1" customWidth="1"/>
  </cols>
  <sheetData>
    <row r="3" spans="1:3" x14ac:dyDescent="0.2">
      <c r="A3" s="2"/>
      <c r="B3" s="5" t="s">
        <v>151</v>
      </c>
      <c r="C3" s="4"/>
    </row>
    <row r="4" spans="1:3" x14ac:dyDescent="0.2">
      <c r="A4" s="5" t="s">
        <v>18</v>
      </c>
      <c r="B4" s="2" t="s">
        <v>155</v>
      </c>
      <c r="C4" s="9" t="s">
        <v>154</v>
      </c>
    </row>
    <row r="5" spans="1:3" x14ac:dyDescent="0.2">
      <c r="A5" s="2" t="s">
        <v>43</v>
      </c>
      <c r="B5" s="22">
        <v>18</v>
      </c>
      <c r="C5" s="23">
        <v>16.283333333333331</v>
      </c>
    </row>
    <row r="6" spans="1:3" x14ac:dyDescent="0.2">
      <c r="A6" s="6" t="s">
        <v>47</v>
      </c>
      <c r="B6" s="24">
        <v>15</v>
      </c>
      <c r="C6" s="25">
        <v>20.266666666666666</v>
      </c>
    </row>
    <row r="7" spans="1:3" x14ac:dyDescent="0.2">
      <c r="A7" s="6" t="s">
        <v>26</v>
      </c>
      <c r="B7" s="24">
        <v>17</v>
      </c>
      <c r="C7" s="25">
        <v>11.429411764705881</v>
      </c>
    </row>
    <row r="8" spans="1:3" x14ac:dyDescent="0.2">
      <c r="A8" s="7" t="s">
        <v>148</v>
      </c>
      <c r="B8" s="26">
        <v>50</v>
      </c>
      <c r="C8" s="27">
        <v>15.827999999999999</v>
      </c>
    </row>
  </sheetData>
  <pageMargins left="0.7" right="0.7" top="0.75" bottom="0.75" header="0.3" footer="0.3"/>
  <drawing r:id="rId2"/>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3C6E-DD52-6442-AF6E-9A922BAC8FC1}">
  <dimension ref="A3:B11"/>
  <sheetViews>
    <sheetView workbookViewId="0">
      <selection activeCell="A6" sqref="A6"/>
    </sheetView>
  </sheetViews>
  <sheetFormatPr baseColWidth="10" defaultRowHeight="16" x14ac:dyDescent="0.2"/>
  <cols>
    <col min="1" max="1" width="25.33203125" bestFit="1" customWidth="1"/>
    <col min="2" max="2" width="12.1640625" bestFit="1" customWidth="1"/>
  </cols>
  <sheetData>
    <row r="3" spans="1:2" x14ac:dyDescent="0.2">
      <c r="A3" s="5" t="s">
        <v>154</v>
      </c>
      <c r="B3" s="8"/>
    </row>
    <row r="4" spans="1:2" x14ac:dyDescent="0.2">
      <c r="A4" s="5" t="s">
        <v>2</v>
      </c>
      <c r="B4" s="8" t="s">
        <v>150</v>
      </c>
    </row>
    <row r="5" spans="1:2" x14ac:dyDescent="0.2">
      <c r="A5" s="2" t="s">
        <v>51</v>
      </c>
      <c r="B5" s="28">
        <v>22.614285714285717</v>
      </c>
    </row>
    <row r="6" spans="1:2" x14ac:dyDescent="0.2">
      <c r="A6" s="6" t="s">
        <v>41</v>
      </c>
      <c r="B6" s="29">
        <v>16.936363636363637</v>
      </c>
    </row>
    <row r="7" spans="1:2" x14ac:dyDescent="0.2">
      <c r="A7" s="6" t="s">
        <v>66</v>
      </c>
      <c r="B7" s="29">
        <v>5.85</v>
      </c>
    </row>
    <row r="8" spans="1:2" x14ac:dyDescent="0.2">
      <c r="A8" s="6" t="s">
        <v>69</v>
      </c>
      <c r="B8" s="29">
        <v>8.1749999999999989</v>
      </c>
    </row>
    <row r="9" spans="1:2" x14ac:dyDescent="0.2">
      <c r="A9" s="6" t="s">
        <v>30</v>
      </c>
      <c r="B9" s="29">
        <v>18.459999999999997</v>
      </c>
    </row>
    <row r="10" spans="1:2" x14ac:dyDescent="0.2">
      <c r="A10" s="6" t="s">
        <v>22</v>
      </c>
      <c r="B10" s="29">
        <v>12.644444444444444</v>
      </c>
    </row>
    <row r="11" spans="1:2" x14ac:dyDescent="0.2">
      <c r="A11" s="7" t="s">
        <v>148</v>
      </c>
      <c r="B11" s="30">
        <v>15.828000000000005</v>
      </c>
    </row>
  </sheetData>
  <pageMargins left="0.7" right="0.7" top="0.75" bottom="0.75" header="0.3" footer="0.3"/>
  <drawing r:id="rId2"/>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construction_projects</vt:lpstr>
      <vt:lpstr>Budget vs Actual cost by Projec</vt:lpstr>
      <vt:lpstr>Cost Variance % by Region</vt:lpstr>
      <vt:lpstr>Project Status</vt:lpstr>
      <vt:lpstr>Cost Breakdown</vt:lpstr>
      <vt:lpstr>Delays by Project Type</vt:lpstr>
      <vt:lpstr>Risk Distribution</vt:lpstr>
      <vt:lpstr>Variance by Project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Nwulu</cp:lastModifiedBy>
  <dcterms:created xsi:type="dcterms:W3CDTF">2026-07-15T00:55:54Z</dcterms:created>
  <dcterms:modified xsi:type="dcterms:W3CDTF">2026-07-18T00:09:26Z</dcterms:modified>
</cp:coreProperties>
</file>